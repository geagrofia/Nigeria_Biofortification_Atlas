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te Projections" sheetId="1" state="visible" r:id="rId3"/>
    <sheet name="Alt Method (UN-scaled)" sheetId="2" state="visible" r:id="rId4"/>
    <sheet name="Methodology &amp; Caveats" sheetId="3" state="visible" r:id="rId5"/>
    <sheet name="Women 15-49 &amp; Under-5 (Rural)"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<sst xmlns="http://schemas.openxmlformats.org/spreadsheetml/2006/main" count="185" uniqueCount="106">
  <si>
    <t xml:space="preserve">Nigeria State Population Estimates &amp; Weights — 2025 / 2030</t>
  </si>
  <si>
    <t xml:space="preserve">Base data: NBS/NPC official state population figures (2006 census, 2016 NBS projection). 2025/2030 columns = each state's own 2006–16 compound annual growth rate (CAGR), extrapolated forward. Read the 'Methodology &amp; Caveats' tab before using these as weights — the FCT row in particular is unreliable.</t>
  </si>
  <si>
    <t xml:space="preserve">State</t>
  </si>
  <si>
    <t xml:space="preserve">2006 Census
(persons)</t>
  </si>
  <si>
    <t xml:space="preserve">2016 NBS Est.
(persons)</t>
  </si>
  <si>
    <t xml:space="preserve">Implied CAGR
2006–16</t>
  </si>
  <si>
    <t xml:space="preserve">2025 Projected
Population</t>
  </si>
  <si>
    <t xml:space="preserve">2030 Projected
Population</t>
  </si>
  <si>
    <t xml:space="preserve">2025 Weight
(share of national total)</t>
  </si>
  <si>
    <t xml:space="preserve">2030 Weight
(share of national total)</t>
  </si>
  <si>
    <t xml:space="preserve">2025
Rank</t>
  </si>
  <si>
    <t xml:space="preserve">2030
Rank</t>
  </si>
  <si>
    <t xml:space="preserve">Abia</t>
  </si>
  <si>
    <t xml:space="preserve">Adamawa</t>
  </si>
  <si>
    <t xml:space="preserve">Akwa Ibom</t>
  </si>
  <si>
    <t xml:space="preserve">Anambra</t>
  </si>
  <si>
    <t xml:space="preserve">Bauchi</t>
  </si>
  <si>
    <t xml:space="preserve">Bayelsa</t>
  </si>
  <si>
    <t xml:space="preserve">Benue</t>
  </si>
  <si>
    <t xml:space="preserve">Borno</t>
  </si>
  <si>
    <t xml:space="preserve">Cross River</t>
  </si>
  <si>
    <t xml:space="preserve">Delta</t>
  </si>
  <si>
    <t xml:space="preserve">Ebonyi</t>
  </si>
  <si>
    <t xml:space="preserve">Edo</t>
  </si>
  <si>
    <t xml:space="preserve">Ekiti</t>
  </si>
  <si>
    <t xml:space="preserve">Enugu</t>
  </si>
  <si>
    <t xml:space="preserve">Gombe</t>
  </si>
  <si>
    <t xml:space="preserve">Imo</t>
  </si>
  <si>
    <t xml:space="preserve">Jigawa</t>
  </si>
  <si>
    <t xml:space="preserve">Kaduna</t>
  </si>
  <si>
    <t xml:space="preserve">Kano</t>
  </si>
  <si>
    <t xml:space="preserve">Katsina</t>
  </si>
  <si>
    <t xml:space="preserve">Kebbi</t>
  </si>
  <si>
    <t xml:space="preserve">Kogi</t>
  </si>
  <si>
    <t xml:space="preserve">Kwara</t>
  </si>
  <si>
    <t xml:space="preserve">Lagos</t>
  </si>
  <si>
    <t xml:space="preserve">Nasarawa</t>
  </si>
  <si>
    <t xml:space="preserve">Niger</t>
  </si>
  <si>
    <t xml:space="preserve">Ogun</t>
  </si>
  <si>
    <t xml:space="preserve">Ondo</t>
  </si>
  <si>
    <t xml:space="preserve">Osun</t>
  </si>
  <si>
    <t xml:space="preserve">Oyo</t>
  </si>
  <si>
    <t xml:space="preserve">Plateau</t>
  </si>
  <si>
    <t xml:space="preserve">Rivers</t>
  </si>
  <si>
    <t xml:space="preserve">Sokoto</t>
  </si>
  <si>
    <t xml:space="preserve">Taraba</t>
  </si>
  <si>
    <t xml:space="preserve">Yobe</t>
  </si>
  <si>
    <t xml:space="preserve">Zamfara</t>
  </si>
  <si>
    <t xml:space="preserve">FCT Abuja</t>
  </si>
  <si>
    <t xml:space="preserve">NIGERIA TOTAL</t>
  </si>
  <si>
    <t xml:space="preserve">Yellow-highlighted row (FCT Abuja) had extreme 2006–16 growth (~9.8%/yr, capital-city migration boom). Extrapolating that rate to 2030 likely overstates FCT's true weight (implies ~13M people, larger than Lagos-adjacent states). Consider capping it manually if FCT matters to your use case — see Methodology tab for a suggested fix.</t>
  </si>
  <si>
    <t xml:space="preserve">Alternative Weighting: State Shares Held Constant, Scaled to UN National Totals</t>
  </si>
  <si>
    <t xml:space="preserve">This tab answers: 'what if I don't trust NBS/NPC's higher growth assumptions, and just want each state's 2016 share of the national population applied to the more conservative UN World Population Prospects national totals for 2025 and 2030?' It keeps relative state weights closer to their most recently measured (2016) shares, rather than compounding 37 different growth rates for 9–14 years. Useful as a sensitivity check against Sheet 1.</t>
  </si>
  <si>
    <t xml:space="preserve">UN WPP national total, 2025 (persons):</t>
  </si>
  <si>
    <t xml:space="preserve">Source: UN WPP 2024 revision (medium variant), via populationpyramid.net</t>
  </si>
  <si>
    <t xml:space="preserve">UN WPP-consistent national total, 2030 (persons):</t>
  </si>
  <si>
    <t xml:space="preserve">Source: UN WPP-based national projection (2030), see chat citations</t>
  </si>
  <si>
    <t xml:space="preserve">2016 Weight
(share of national)</t>
  </si>
  <si>
    <t xml:space="preserve">2025 Population
(2016 weight × UN 2025 total)</t>
  </si>
  <si>
    <t xml:space="preserve">2030 Population
(2016 weight × UN 2030 total)</t>
  </si>
  <si>
    <t xml:space="preserve">Methodology &amp; Caveats</t>
  </si>
  <si>
    <t xml:space="preserve">Data source</t>
  </si>
  <si>
    <t xml:space="preserve">State population figures for 2006 and 2016 are official National Bureau of Statistics (NBS) / National Population Commission (NPC) figures, projected forward from the 2006 census (the last completed Nigerian census). Retrieved from nigerianstat.gov.ng.</t>
  </si>
  <si>
    <t xml:space="preserve">Sheet 1 method: state-specific CAGR</t>
  </si>
  <si>
    <t xml:space="preserve">For each state, CAGR = (2016 population / 2006 population)^(1/10) − 1. This CAGR is then compounded forward 9 years to 2025 and 14 years to 2030. This preserves each state's own real, government-measured differential growth rate (e.g. Kano/Oyo grow faster than Abia/Edo), which matters if you're using this as a relative weighting factor between states.</t>
  </si>
  <si>
    <t xml:space="preserve">Sheet 2 method: 2016 shares scaled to UN totals</t>
  </si>
  <si>
    <t xml:space="preserve">Holds each state's 2016 share of the national population constant, and multiplies by the UN World Population Prospects (WPP) 2024 revision's more conservative national totals for 2025 (~237.5M) and 2030 (~262.4M). This is a useful sensitivity check: if your weights are similar in both sheets, that's a good sign your relative weighting is stable regardless of which national growth assumption you trust.</t>
  </si>
  <si>
    <t xml:space="preserve">Why the two sheets disagree on national totals</t>
  </si>
  <si>
    <t xml:space="preserve">NBS/NPC's own compounded state trends imply a 2025 national total of roughly 259.9M and a 2030 total of roughly 307.3M — notably higher than the UN's ~237.5M (2025) and ~262.4M (2030). Nigeria has not completed a census since 2006, so there is no single authoritative current population figure; NBS/NPC, UN WPP, and individual state governments' own claims all diverge, sometimes by tens of millions. Absolute totals should be treated with real caution. RELATIVE weights between states are generally more trustworthy than either method's absolute totals, since both methods are internally consistent in how they treat states relative to one another.</t>
  </si>
  <si>
    <t xml:space="preserve">Known distortion: FCT Abuja</t>
  </si>
  <si>
    <t xml:space="preserve">FCT's 2006–16 CAGR (~9.8%/yr) reflects an extraordinary migration-driven boom as Nigeria's capital was built out — not a typical demographic growth pattern. Compounding that rate to 2030 implies ~13.1M residents, which is implausibly high (more than triple most independent current estimates of Abuja's population). If FCT matters materially to your weighting, consider either (a) using Sheet 2's value for FCT instead, or (b) manually capping FCT's growth rate at a more typical ~4–5%/yr in Sheet 1, cell D-row for FCT Abuja.</t>
  </si>
  <si>
    <t xml:space="preserve">Suggested use as weights</t>
  </si>
  <si>
    <t xml:space="preserve">For a weighting factor across states, the 2025/2030 Weight columns (G and H) on Sheet 1 are more robust than the raw population columns, since they normalize for whichever national total you believe. If your downstream use is sensitive to the exact FCT value, cross-check against Sheet 2 or override that one row.</t>
  </si>
  <si>
    <t xml:space="preserve">What this is NOT</t>
  </si>
  <si>
    <t xml:space="preserve">This is not an official NBS/NPC/UN-published 2025 or 2030 state-level dataset — no such dataset has been publicly released. It is a transparent extrapolation built from the last officially published state-level series, so you can see and adjust every assumption (all formulas are live, not hardcoded).</t>
  </si>
  <si>
    <t xml:space="preserve">Women 15-49 / Under-5 / Rural sheet</t>
  </si>
  <si>
    <t xml:space="preserve">State shares of the national women 15-49 and under-5 populations come directly from the 2021 Nigeria MICS (Multiple Indicator Cluster Survey) Statistical Snapshots Report, a real NBS/UNICEF household survey specifically designed to be representative at the state level (37 strata: 36 states + FCT). These are survey-weighted shares, not modeled. National totals for 'women 15-49 as % of population' (28%) and 'under-5 as % of population' (14.7%) are also MICS 2021-derived. State population totals for 2025/2030 come from the State Projections tab. The rural share (57.5%) is NATIONAL ONLY from MICS 2021 and is applied uniformly to every state at your instruction — true state-level rural shares vary substantially (MICS does report these in an appendix table, Table SD.6, which was not accessible for this workbook). Borno is flagged separately: MICS only sampled 7 of 27 LGAs there due to insecurity, so its shares likely understate its true population weight.</t>
  </si>
  <si>
    <t xml:space="preserve">Women 15-49 / Under-5 / Rural sheet (updated)</t>
  </si>
  <si>
    <t xml:space="preserve">State shares of the national women 15-49 and under-5 populations come from the 2021 Nigeria MICS 'State Distribution of Population' table. Percent-urban/rural by state is now REAL, state-specific data from MICS Table SD.6 (percent urban population by state, as of the survey's 05/10/2021 data-collection midpoint) — this replaced the earlier flat 57.5% national rate. National totals for 'women 15-49 as % of population' (28%) and 'under-5 as % of population' (14.7%) are MICS 2021-derived. State population totals for 2025/2030 come from the State Projections tab. Rural shares are held constant at their 2021 level for both 2025 and 2030 (ongoing urbanization is not modeled, so actual 2030 rural shares are probably somewhat lower, especially in faster-urbanizing states). Borno is flagged: MICS only sampled 7 of 27 LGAs there due to insecurity, so both its population share and its urban/rural split may not represent the full state.</t>
  </si>
  <si>
    <t xml:space="preserve">Women Aged 15–49 and Children Under 5, by State — Rural Population Estimates</t>
  </si>
  <si>
    <t xml:space="preserve">Combines: (1) state shares of the national women 15–49 and under-5 populations from the 2021 Nigeria MICS 'State Distribution of Population' table, (2) state-specific percent-urban figures from MICS Table SD.6 (so rural share is now state-specific, not a flat national rate), and (3) national population totals for 2025/2030 from the State Projections tab. All figures marked in blue are real inputs from the MICS 2021 Survey Findings Report (NBS/UNICEF); everything else is a live formula.</t>
  </si>
  <si>
    <t xml:space="preserve">National assumptions (MICS 2021):</t>
  </si>
  <si>
    <t xml:space="preserve">Women 15-49 as % of total population</t>
  </si>
  <si>
    <t xml:space="preserve">Source: BMC Public Health (2025) secondary analysis of 2021 Nigeria MICS</t>
  </si>
  <si>
    <t xml:space="preserve">Children under 5 as % of total population</t>
  </si>
  <si>
    <t xml:space="preserve">Source: 2021 Nigeria MICS Survey Findings Report, summary table</t>
  </si>
  <si>
    <t xml:space="preserve">National total population (2025, from State Projections tab)</t>
  </si>
  <si>
    <t xml:space="preserve">National total population (2030, from State Projections tab)</t>
  </si>
  <si>
    <t xml:space="preserve">National women 15-49 (2025)</t>
  </si>
  <si>
    <t xml:space="preserve">National women 15-49 (2030)</t>
  </si>
  <si>
    <t xml:space="preserve">National children under 5 (2025)</t>
  </si>
  <si>
    <t xml:space="preserve">National children under 5 (2030)</t>
  </si>
  <si>
    <t xml:space="preserve">MICS State Share
Women 15-49
(% of national)</t>
  </si>
  <si>
    <t xml:space="preserve">MICS State Share
Under-5
(% of national)</t>
  </si>
  <si>
    <t xml:space="preserve">Percent Urban
(MICS Table SD.6)</t>
  </si>
  <si>
    <t xml:space="preserve">Percent Rural
(state-specific)</t>
  </si>
  <si>
    <t xml:space="preserve">Women 15-49
Population 2025</t>
  </si>
  <si>
    <t xml:space="preserve">Women 15-49
Population 2030</t>
  </si>
  <si>
    <t xml:space="preserve">Under-5
Population 2025</t>
  </si>
  <si>
    <t xml:space="preserve">Under-5
Population 2030</t>
  </si>
  <si>
    <t xml:space="preserve">Rural Women 15-49
2025</t>
  </si>
  <si>
    <t xml:space="preserve">Rural Women 15-49
2030</t>
  </si>
  <si>
    <t xml:space="preserve">Rural Under-5
2025</t>
  </si>
  <si>
    <t xml:space="preserve">Rural Under-5
2030</t>
  </si>
  <si>
    <t xml:space="preserve">Yellow-highlighted row (Borno): MICS 2021 could only sample 7 of Borno's 27 LGAs due to insecurity (~29% of the state's population), so Borno's share of national women 15-49 / under-5, AND its percent-urban figure, likely do not reflect the full state (in particular, areas outside government control at the time of the survey were excluded, which may bias the urban/rural split). Treat this row with extra caution.</t>
  </si>
  <si>
    <t xml:space="preserve">Percent Urban (column D) is state-specific real data from MICS 2021 Table SD.6, reflecting each state's urban share as of the survey's data-collection midpoint (05/10/2021). Rural share (column E) is simply 1 − urban share, applied to the estimated women 15-49 / under-5 counts. Note this table's 'percent urban' reflects the 2021 urban/rural split; rural-urban migration between 2021 and 2025/2030 is not modeled, so these rural shares are held constant across both projection years — in practice, urbanization is ongoing in Nigeria, so rural shares by 2030 are more likely to be slightly lower than shown here, especially in fast-urbanizing states.</t>
  </si>
</sst>
</file>

<file path=xl/styles.xml><?xml version="1.0" encoding="utf-8"?>
<styleSheet xmlns="http://schemas.openxmlformats.org/spreadsheetml/2006/main">
  <numFmts count="5">
    <numFmt numFmtId="164" formatCode="General"/>
    <numFmt numFmtId="165" formatCode="#,##0"/>
    <numFmt numFmtId="166" formatCode="0.00%"/>
    <numFmt numFmtId="167" formatCode="0.00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666666"/>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i val="true"/>
      <sz val="9"/>
      <color rgb="FF666666"/>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15"/>
    <col collapsed="false" customWidth="true" hidden="false" outlineLevel="0" max="4" min="4" style="1" width="13"/>
    <col collapsed="false" customWidth="true" hidden="false" outlineLevel="0" max="6" min="5" style="1" width="16"/>
    <col collapsed="false" customWidth="true" hidden="false" outlineLevel="0" max="8" min="7" style="1" width="18"/>
    <col collapsed="false" customWidth="true" hidden="false" outlineLevel="0" max="10" min="9" style="1" width="8"/>
  </cols>
  <sheetData>
    <row r="1" customFormat="false" ht="17.25" hidden="false" customHeight="true" outlineLevel="0" collapsed="false">
      <c r="A1" s="2" t="s">
        <v>0</v>
      </c>
      <c r="B1" s="2"/>
      <c r="C1" s="2"/>
      <c r="D1" s="2"/>
      <c r="E1" s="2"/>
      <c r="F1" s="2"/>
      <c r="G1" s="2"/>
      <c r="H1" s="2"/>
      <c r="I1" s="2"/>
      <c r="J1" s="2"/>
    </row>
    <row r="2" customFormat="false" ht="27.75" hidden="false" customHeight="true" outlineLevel="0" collapsed="false">
      <c r="A2" s="3" t="s">
        <v>1</v>
      </c>
      <c r="B2" s="3"/>
      <c r="C2" s="3"/>
      <c r="D2" s="3"/>
      <c r="E2" s="3"/>
      <c r="F2" s="3"/>
      <c r="G2" s="3"/>
      <c r="H2" s="3"/>
      <c r="I2" s="3"/>
      <c r="J2" s="3"/>
    </row>
    <row r="4" customFormat="false" ht="31.5" hidden="false" customHeight="true" outlineLevel="0" collapsed="false">
      <c r="A4" s="4" t="s">
        <v>2</v>
      </c>
      <c r="B4" s="4" t="s">
        <v>3</v>
      </c>
      <c r="C4" s="4" t="s">
        <v>4</v>
      </c>
      <c r="D4" s="4" t="s">
        <v>5</v>
      </c>
      <c r="E4" s="4" t="s">
        <v>6</v>
      </c>
      <c r="F4" s="4" t="s">
        <v>7</v>
      </c>
      <c r="G4" s="4" t="s">
        <v>8</v>
      </c>
      <c r="H4" s="4" t="s">
        <v>9</v>
      </c>
      <c r="I4" s="4" t="s">
        <v>10</v>
      </c>
      <c r="J4" s="4" t="s">
        <v>11</v>
      </c>
    </row>
    <row r="5" customFormat="false" ht="15" hidden="false" customHeight="true" outlineLevel="0" collapsed="false">
      <c r="A5" s="5" t="s">
        <v>12</v>
      </c>
      <c r="B5" s="6" t="n">
        <v>2845380</v>
      </c>
      <c r="C5" s="6" t="n">
        <v>3727347</v>
      </c>
      <c r="D5" s="7" t="n">
        <f aca="false">(C5/B5)^(1/10)-1</f>
        <v>0.0273678124428531</v>
      </c>
      <c r="E5" s="8" t="n">
        <f aca="false">C5*(1+D5)^9</f>
        <v>4752623.61389439</v>
      </c>
      <c r="F5" s="8" t="n">
        <f aca="false">C5*(1+D5)^14</f>
        <v>5439552.80452301</v>
      </c>
      <c r="G5" s="9" t="n">
        <f aca="false">E5/$E$42</f>
        <v>0.0182897991670569</v>
      </c>
      <c r="H5" s="9" t="n">
        <f aca="false">F5/$F$42</f>
        <v>0.0176998130480275</v>
      </c>
      <c r="I5" s="5" t="n">
        <f aca="false">RANK(E5,$E$5:$E$41)</f>
        <v>29</v>
      </c>
      <c r="J5" s="5" t="n">
        <f aca="false">RANK(F5,$F$5:$F$41)</f>
        <v>29</v>
      </c>
    </row>
    <row r="6" customFormat="false" ht="15" hidden="false" customHeight="true" outlineLevel="0" collapsed="false">
      <c r="A6" s="5" t="s">
        <v>13</v>
      </c>
      <c r="B6" s="6" t="n">
        <v>3178950</v>
      </c>
      <c r="C6" s="6" t="n">
        <v>4248436</v>
      </c>
      <c r="D6" s="7" t="n">
        <f aca="false">(C6/B6)^(1/10)-1</f>
        <v>0.0294245905241122</v>
      </c>
      <c r="E6" s="8" t="n">
        <f aca="false">C6*(1+D6)^9</f>
        <v>5515436.95950602</v>
      </c>
      <c r="F6" s="8" t="n">
        <f aca="false">C6*(1+D6)^14</f>
        <v>6376063.25014835</v>
      </c>
      <c r="G6" s="9" t="n">
        <f aca="false">E6/$E$42</f>
        <v>0.0212253783390324</v>
      </c>
      <c r="H6" s="9" t="n">
        <f aca="false">F6/$F$42</f>
        <v>0.0207471333702625</v>
      </c>
      <c r="I6" s="5" t="n">
        <f aca="false">RANK(E6,$E$5:$E$41)</f>
        <v>25</v>
      </c>
      <c r="J6" s="5" t="n">
        <f aca="false">RANK(F6,$F$5:$F$41)</f>
        <v>25</v>
      </c>
    </row>
    <row r="7" customFormat="false" ht="15" hidden="false" customHeight="true" outlineLevel="0" collapsed="false">
      <c r="A7" s="5" t="s">
        <v>14</v>
      </c>
      <c r="B7" s="6" t="n">
        <v>3902051</v>
      </c>
      <c r="C7" s="6" t="n">
        <v>5482177</v>
      </c>
      <c r="D7" s="7" t="n">
        <f aca="false">(C7/B7)^(1/10)-1</f>
        <v>0.0345846038840219</v>
      </c>
      <c r="E7" s="8" t="n">
        <f aca="false">C7*(1+D7)^9</f>
        <v>7444699.18317301</v>
      </c>
      <c r="F7" s="8" t="n">
        <f aca="false">C7*(1+D7)^14</f>
        <v>8824237.9371456</v>
      </c>
      <c r="G7" s="9" t="n">
        <f aca="false">E7/$E$42</f>
        <v>0.0286498708884319</v>
      </c>
      <c r="H7" s="9" t="n">
        <f aca="false">F7/$F$42</f>
        <v>0.0287132724677144</v>
      </c>
      <c r="I7" s="5" t="n">
        <f aca="false">RANK(E7,$E$5:$E$41)</f>
        <v>14</v>
      </c>
      <c r="J7" s="5" t="n">
        <f aca="false">RANK(F7,$F$5:$F$41)</f>
        <v>12</v>
      </c>
    </row>
    <row r="8" customFormat="false" ht="15" hidden="false" customHeight="true" outlineLevel="0" collapsed="false">
      <c r="A8" s="5" t="s">
        <v>15</v>
      </c>
      <c r="B8" s="6" t="n">
        <v>4177828</v>
      </c>
      <c r="C8" s="6" t="n">
        <v>5527809</v>
      </c>
      <c r="D8" s="7" t="n">
        <f aca="false">(C8/B8)^(1/10)-1</f>
        <v>0.0283956885586267</v>
      </c>
      <c r="E8" s="8" t="n">
        <f aca="false">C8*(1+D8)^9</f>
        <v>7112057.41177161</v>
      </c>
      <c r="F8" s="8" t="n">
        <f aca="false">C8*(1+D8)^14</f>
        <v>8180813.46128493</v>
      </c>
      <c r="G8" s="9" t="n">
        <f aca="false">E8/$E$42</f>
        <v>0.0273697461220357</v>
      </c>
      <c r="H8" s="9" t="n">
        <f aca="false">F8/$F$42</f>
        <v>0.0266196273938419</v>
      </c>
      <c r="I8" s="5" t="n">
        <f aca="false">RANK(E8,$E$5:$E$41)</f>
        <v>16</v>
      </c>
      <c r="J8" s="5" t="n">
        <f aca="false">RANK(F8,$F$5:$F$41)</f>
        <v>17</v>
      </c>
    </row>
    <row r="9" customFormat="false" ht="15" hidden="false" customHeight="true" outlineLevel="0" collapsed="false">
      <c r="A9" s="5" t="s">
        <v>16</v>
      </c>
      <c r="B9" s="6" t="n">
        <v>4653066</v>
      </c>
      <c r="C9" s="6" t="n">
        <v>6537314</v>
      </c>
      <c r="D9" s="7" t="n">
        <f aca="false">(C9/B9)^(1/10)-1</f>
        <v>0.0345846088577473</v>
      </c>
      <c r="E9" s="8" t="n">
        <f aca="false">C9*(1+D9)^9</f>
        <v>8877556.90881302</v>
      </c>
      <c r="F9" s="8" t="n">
        <f aca="false">C9*(1+D9)^14</f>
        <v>10522611.3801895</v>
      </c>
      <c r="G9" s="9" t="n">
        <f aca="false">E9/$E$42</f>
        <v>0.0341640210012887</v>
      </c>
      <c r="H9" s="9" t="n">
        <f aca="false">F9/$F$42</f>
        <v>0.0342396261052074</v>
      </c>
      <c r="I9" s="5" t="n">
        <f aca="false">RANK(E9,$E$5:$E$41)</f>
        <v>7</v>
      </c>
      <c r="J9" s="5" t="n">
        <f aca="false">RANK(F9,$F$5:$F$41)</f>
        <v>8</v>
      </c>
    </row>
    <row r="10" customFormat="false" ht="15" hidden="false" customHeight="true" outlineLevel="0" collapsed="false">
      <c r="A10" s="5" t="s">
        <v>17</v>
      </c>
      <c r="B10" s="6" t="n">
        <v>1704515</v>
      </c>
      <c r="C10" s="6" t="n">
        <v>2277961</v>
      </c>
      <c r="D10" s="7" t="n">
        <f aca="false">(C10/B10)^(1/10)-1</f>
        <v>0.0294246080435356</v>
      </c>
      <c r="E10" s="8" t="n">
        <f aca="false">C10*(1+D10)^9</f>
        <v>2957312.34179058</v>
      </c>
      <c r="F10" s="8" t="n">
        <f aca="false">C10*(1+D10)^14</f>
        <v>3418770.31405863</v>
      </c>
      <c r="G10" s="9" t="n">
        <f aca="false">E10/$E$42</f>
        <v>0.0113807978918169</v>
      </c>
      <c r="H10" s="9" t="n">
        <f aca="false">F10/$F$42</f>
        <v>0.0111243695185142</v>
      </c>
      <c r="I10" s="5" t="n">
        <f aca="false">RANK(E10,$E$5:$E$41)</f>
        <v>37</v>
      </c>
      <c r="J10" s="5" t="n">
        <f aca="false">RANK(F10,$F$5:$F$41)</f>
        <v>37</v>
      </c>
    </row>
    <row r="11" customFormat="false" ht="15" hidden="false" customHeight="true" outlineLevel="0" collapsed="false">
      <c r="A11" s="5" t="s">
        <v>18</v>
      </c>
      <c r="B11" s="6" t="n">
        <v>4253641</v>
      </c>
      <c r="C11" s="6" t="n">
        <v>5741815</v>
      </c>
      <c r="D11" s="7" t="n">
        <f aca="false">(C11/B11)^(1/10)-1</f>
        <v>0.0304545381150148</v>
      </c>
      <c r="E11" s="8" t="n">
        <f aca="false">C11*(1+D11)^9</f>
        <v>7521573.80607028</v>
      </c>
      <c r="F11" s="8" t="n">
        <f aca="false">C11*(1+D11)^14</f>
        <v>8738822.18355952</v>
      </c>
      <c r="G11" s="9" t="n">
        <f aca="false">E11/$E$42</f>
        <v>0.0289457119918014</v>
      </c>
      <c r="H11" s="9" t="n">
        <f aca="false">F11/$F$42</f>
        <v>0.0284353373277939</v>
      </c>
      <c r="I11" s="5" t="n">
        <f aca="false">RANK(E11,$E$5:$E$41)</f>
        <v>13</v>
      </c>
      <c r="J11" s="5" t="n">
        <f aca="false">RANK(F11,$F$5:$F$41)</f>
        <v>14</v>
      </c>
    </row>
    <row r="12" customFormat="false" ht="15" hidden="false" customHeight="true" outlineLevel="0" collapsed="false">
      <c r="A12" s="5" t="s">
        <v>19</v>
      </c>
      <c r="B12" s="6" t="n">
        <v>4171104</v>
      </c>
      <c r="C12" s="6" t="n">
        <v>5860183</v>
      </c>
      <c r="D12" s="7" t="n">
        <f aca="false">(C12/B12)^(1/10)-1</f>
        <v>0.0345846152942437</v>
      </c>
      <c r="E12" s="8" t="n">
        <f aca="false">C12*(1+D12)^9</f>
        <v>7958025.42014853</v>
      </c>
      <c r="F12" s="8" t="n">
        <f aca="false">C12*(1+D12)^14</f>
        <v>9432686.52793535</v>
      </c>
      <c r="G12" s="9" t="n">
        <f aca="false">E12/$E$42</f>
        <v>0.0306253342417712</v>
      </c>
      <c r="H12" s="9" t="n">
        <f aca="false">F12/$F$42</f>
        <v>0.0306931091736582</v>
      </c>
      <c r="I12" s="5" t="n">
        <f aca="false">RANK(E12,$E$5:$E$41)</f>
        <v>9</v>
      </c>
      <c r="J12" s="5" t="n">
        <f aca="false">RANK(F12,$F$5:$F$41)</f>
        <v>9</v>
      </c>
    </row>
    <row r="13" customFormat="false" ht="15" hidden="false" customHeight="true" outlineLevel="0" collapsed="false">
      <c r="A13" s="5" t="s">
        <v>20</v>
      </c>
      <c r="B13" s="6" t="n">
        <v>2892988</v>
      </c>
      <c r="C13" s="6" t="n">
        <v>3866269</v>
      </c>
      <c r="D13" s="7" t="n">
        <f aca="false">(C13/B13)^(1/10)-1</f>
        <v>0.0294246028428753</v>
      </c>
      <c r="E13" s="8" t="n">
        <f aca="false">C13*(1+D13)^9</f>
        <v>5019297.74500581</v>
      </c>
      <c r="F13" s="8" t="n">
        <f aca="false">C13*(1+D13)^14</f>
        <v>5802507.04401404</v>
      </c>
      <c r="G13" s="9" t="n">
        <f aca="false">E13/$E$42</f>
        <v>0.0193160568085874</v>
      </c>
      <c r="H13" s="9" t="n">
        <f aca="false">F13/$F$42</f>
        <v>0.0188808333294445</v>
      </c>
      <c r="I13" s="5" t="n">
        <f aca="false">RANK(E13,$E$5:$E$41)</f>
        <v>28</v>
      </c>
      <c r="J13" s="5" t="n">
        <f aca="false">RANK(F13,$F$5:$F$41)</f>
        <v>28</v>
      </c>
    </row>
    <row r="14" customFormat="false" ht="15" hidden="false" customHeight="true" outlineLevel="0" collapsed="false">
      <c r="A14" s="5" t="s">
        <v>21</v>
      </c>
      <c r="B14" s="6" t="n">
        <v>4112445</v>
      </c>
      <c r="C14" s="6" t="n">
        <v>5663362</v>
      </c>
      <c r="D14" s="7" t="n">
        <f aca="false">(C14/B14)^(1/10)-1</f>
        <v>0.0325175018629222</v>
      </c>
      <c r="E14" s="8" t="n">
        <f aca="false">C14*(1+D14)^9</f>
        <v>7553550.20675729</v>
      </c>
      <c r="F14" s="8" t="n">
        <f aca="false">C14*(1+D14)^14</f>
        <v>8864173.13445567</v>
      </c>
      <c r="G14" s="9" t="n">
        <f aca="false">E14/$E$42</f>
        <v>0.0290687686430668</v>
      </c>
      <c r="H14" s="9" t="n">
        <f aca="false">F14/$F$42</f>
        <v>0.0288432179893088</v>
      </c>
      <c r="I14" s="5" t="n">
        <f aca="false">RANK(E14,$E$5:$E$41)</f>
        <v>11</v>
      </c>
      <c r="J14" s="5" t="n">
        <f aca="false">RANK(F14,$F$5:$F$41)</f>
        <v>11</v>
      </c>
    </row>
    <row r="15" customFormat="false" ht="15" hidden="false" customHeight="true" outlineLevel="0" collapsed="false">
      <c r="A15" s="5" t="s">
        <v>22</v>
      </c>
      <c r="B15" s="6" t="n">
        <v>2176947</v>
      </c>
      <c r="C15" s="6" t="n">
        <v>2880383</v>
      </c>
      <c r="D15" s="7" t="n">
        <f aca="false">(C15/B15)^(1/10)-1</f>
        <v>0.0283956674416386</v>
      </c>
      <c r="E15" s="8" t="n">
        <f aca="false">C15*(1+D15)^9</f>
        <v>3705888.80297298</v>
      </c>
      <c r="F15" s="8" t="n">
        <f aca="false">C15*(1+D15)^14</f>
        <v>4262786.43962497</v>
      </c>
      <c r="G15" s="9" t="n">
        <f aca="false">E15/$E$42</f>
        <v>0.0142615884295286</v>
      </c>
      <c r="H15" s="9" t="n">
        <f aca="false">F15/$F$42</f>
        <v>0.0138707216854833</v>
      </c>
      <c r="I15" s="5" t="n">
        <f aca="false">RANK(E15,$E$5:$E$41)</f>
        <v>35</v>
      </c>
      <c r="J15" s="5" t="n">
        <f aca="false">RANK(F15,$F$5:$F$41)</f>
        <v>35</v>
      </c>
    </row>
    <row r="16" customFormat="false" ht="15" hidden="false" customHeight="true" outlineLevel="0" collapsed="false">
      <c r="A16" s="5" t="s">
        <v>23</v>
      </c>
      <c r="B16" s="6" t="n">
        <v>3233366</v>
      </c>
      <c r="C16" s="6" t="n">
        <v>4235595</v>
      </c>
      <c r="D16" s="7" t="n">
        <f aca="false">(C16/B16)^(1/10)-1</f>
        <v>0.0273678144981042</v>
      </c>
      <c r="E16" s="8" t="n">
        <f aca="false">C16*(1+D16)^9</f>
        <v>5400674.8441525</v>
      </c>
      <c r="F16" s="8" t="n">
        <f aca="false">C16*(1+D16)^14</f>
        <v>6181271.37246633</v>
      </c>
      <c r="G16" s="9" t="n">
        <f aca="false">E16/$E$42</f>
        <v>0.0207837325845346</v>
      </c>
      <c r="H16" s="9" t="n">
        <f aca="false">F16/$F$42</f>
        <v>0.0201132982109864</v>
      </c>
      <c r="I16" s="5" t="n">
        <f aca="false">RANK(E16,$E$5:$E$41)</f>
        <v>26</v>
      </c>
      <c r="J16" s="5" t="n">
        <f aca="false">RANK(F16,$F$5:$F$41)</f>
        <v>26</v>
      </c>
    </row>
    <row r="17" customFormat="false" ht="15" hidden="false" customHeight="true" outlineLevel="0" collapsed="false">
      <c r="A17" s="5" t="s">
        <v>24</v>
      </c>
      <c r="B17" s="6" t="n">
        <v>2398957</v>
      </c>
      <c r="C17" s="6" t="n">
        <v>3270798</v>
      </c>
      <c r="D17" s="7" t="n">
        <f aca="false">(C17/B17)^(1/10)-1</f>
        <v>0.0314854969005227</v>
      </c>
      <c r="E17" s="8" t="n">
        <f aca="false">C17*(1+D17)^9</f>
        <v>4323364.55318394</v>
      </c>
      <c r="F17" s="8" t="n">
        <f aca="false">C17*(1+D17)^14</f>
        <v>5048210.86833341</v>
      </c>
      <c r="G17" s="9" t="n">
        <f aca="false">E17/$E$42</f>
        <v>0.0166378564405004</v>
      </c>
      <c r="H17" s="9" t="n">
        <f aca="false">F17/$F$42</f>
        <v>0.016426421768022</v>
      </c>
      <c r="I17" s="5" t="n">
        <f aca="false">RANK(E17,$E$5:$E$41)</f>
        <v>32</v>
      </c>
      <c r="J17" s="5" t="n">
        <f aca="false">RANK(F17,$F$5:$F$41)</f>
        <v>32</v>
      </c>
    </row>
    <row r="18" customFormat="false" ht="15" hidden="false" customHeight="true" outlineLevel="0" collapsed="false">
      <c r="A18" s="5" t="s">
        <v>25</v>
      </c>
      <c r="B18" s="6" t="n">
        <v>3267837</v>
      </c>
      <c r="C18" s="6" t="n">
        <v>4411119</v>
      </c>
      <c r="D18" s="7" t="n">
        <f aca="false">(C18/B18)^(1/10)-1</f>
        <v>0.0304545443214945</v>
      </c>
      <c r="E18" s="8" t="n">
        <f aca="false">C18*(1+D18)^9</f>
        <v>5778409.60121218</v>
      </c>
      <c r="F18" s="8" t="n">
        <f aca="false">C18*(1+D18)^14</f>
        <v>6713554.48094225</v>
      </c>
      <c r="G18" s="9" t="n">
        <f aca="false">E18/$E$42</f>
        <v>0.0222373913225927</v>
      </c>
      <c r="H18" s="9" t="n">
        <f aca="false">F18/$F$42</f>
        <v>0.0218452993234331</v>
      </c>
      <c r="I18" s="5" t="n">
        <f aca="false">RANK(E18,$E$5:$E$41)</f>
        <v>24</v>
      </c>
      <c r="J18" s="5" t="n">
        <f aca="false">RANK(F18,$F$5:$F$41)</f>
        <v>24</v>
      </c>
    </row>
    <row r="19" customFormat="false" ht="15" hidden="false" customHeight="true" outlineLevel="0" collapsed="false">
      <c r="A19" s="5" t="s">
        <v>26</v>
      </c>
      <c r="B19" s="6" t="n">
        <v>2365040</v>
      </c>
      <c r="C19" s="6" t="n">
        <v>3256962</v>
      </c>
      <c r="D19" s="7" t="n">
        <f aca="false">(C19/B19)^(1/10)-1</f>
        <v>0.032517497450504</v>
      </c>
      <c r="E19" s="8" t="n">
        <f aca="false">C19*(1+D19)^9</f>
        <v>4343996.55933965</v>
      </c>
      <c r="F19" s="8" t="n">
        <f aca="false">C19*(1+D19)^14</f>
        <v>5097726.99203779</v>
      </c>
      <c r="G19" s="9" t="n">
        <f aca="false">E19/$E$42</f>
        <v>0.0167172557953953</v>
      </c>
      <c r="H19" s="9" t="n">
        <f aca="false">F19/$F$42</f>
        <v>0.0165875427579133</v>
      </c>
      <c r="I19" s="5" t="n">
        <f aca="false">RANK(E19,$E$5:$E$41)</f>
        <v>31</v>
      </c>
      <c r="J19" s="5" t="n">
        <f aca="false">RANK(F19,$F$5:$F$41)</f>
        <v>31</v>
      </c>
    </row>
    <row r="20" customFormat="false" ht="15" hidden="false" customHeight="true" outlineLevel="0" collapsed="false">
      <c r="A20" s="5" t="s">
        <v>27</v>
      </c>
      <c r="B20" s="6" t="n">
        <v>3927563</v>
      </c>
      <c r="C20" s="6" t="n">
        <v>5408756</v>
      </c>
      <c r="D20" s="7" t="n">
        <f aca="false">(C20/B20)^(1/10)-1</f>
        <v>0.0325175042842254</v>
      </c>
      <c r="E20" s="8" t="n">
        <f aca="false">C20*(1+D20)^9</f>
        <v>7213967.75702643</v>
      </c>
      <c r="F20" s="8" t="n">
        <f aca="false">C20*(1+D20)^14</f>
        <v>8465669.54400312</v>
      </c>
      <c r="G20" s="9" t="n">
        <f aca="false">E20/$E$42</f>
        <v>0.0277619336586853</v>
      </c>
      <c r="H20" s="9" t="n">
        <f aca="false">F20/$F$42</f>
        <v>0.027546523333801</v>
      </c>
      <c r="I20" s="5" t="n">
        <f aca="false">RANK(E20,$E$5:$E$41)</f>
        <v>15</v>
      </c>
      <c r="J20" s="5" t="n">
        <f aca="false">RANK(F20,$F$5:$F$41)</f>
        <v>15</v>
      </c>
    </row>
    <row r="21" customFormat="false" ht="15" hidden="false" customHeight="true" outlineLevel="0" collapsed="false">
      <c r="A21" s="5" t="s">
        <v>28</v>
      </c>
      <c r="B21" s="6" t="n">
        <v>4361002</v>
      </c>
      <c r="C21" s="6" t="n">
        <v>5828163</v>
      </c>
      <c r="D21" s="7" t="n">
        <f aca="false">(C21/B21)^(1/10)-1</f>
        <v>0.0294245953912355</v>
      </c>
      <c r="E21" s="8" t="n">
        <f aca="false">C21*(1+D21)^9</f>
        <v>7566282.50585743</v>
      </c>
      <c r="F21" s="8" t="n">
        <f aca="false">C21*(1+D21)^14</f>
        <v>8746922.01551814</v>
      </c>
      <c r="G21" s="9" t="n">
        <f aca="false">E21/$E$42</f>
        <v>0.0291177670936901</v>
      </c>
      <c r="H21" s="9" t="n">
        <f aca="false">F21/$F$42</f>
        <v>0.0284616934486994</v>
      </c>
      <c r="I21" s="5" t="n">
        <f aca="false">RANK(E21,$E$5:$E$41)</f>
        <v>10</v>
      </c>
      <c r="J21" s="5" t="n">
        <f aca="false">RANK(F21,$F$5:$F$41)</f>
        <v>13</v>
      </c>
    </row>
    <row r="22" customFormat="false" ht="15" hidden="false" customHeight="true" outlineLevel="0" collapsed="false">
      <c r="A22" s="5" t="s">
        <v>29</v>
      </c>
      <c r="B22" s="6" t="n">
        <v>6113503</v>
      </c>
      <c r="C22" s="6" t="n">
        <v>8252366</v>
      </c>
      <c r="D22" s="7" t="n">
        <f aca="false">(C22/B22)^(1/10)-1</f>
        <v>0.0304545355806398</v>
      </c>
      <c r="E22" s="8" t="n">
        <f aca="false">C22*(1+D22)^9</f>
        <v>10810306.2480683</v>
      </c>
      <c r="F22" s="8" t="n">
        <f aca="false">C22*(1+D22)^14</f>
        <v>12559784.0725469</v>
      </c>
      <c r="G22" s="9" t="n">
        <f aca="false">E22/$E$42</f>
        <v>0.041601933221372</v>
      </c>
      <c r="H22" s="9" t="n">
        <f aca="false">F22/$F$42</f>
        <v>0.0408684018698791</v>
      </c>
      <c r="I22" s="5" t="n">
        <f aca="false">RANK(E22,$E$5:$E$41)</f>
        <v>3</v>
      </c>
      <c r="J22" s="5" t="n">
        <f aca="false">RANK(F22,$F$5:$F$41)</f>
        <v>5</v>
      </c>
    </row>
    <row r="23" customFormat="false" ht="15" hidden="false" customHeight="true" outlineLevel="0" collapsed="false">
      <c r="A23" s="5" t="s">
        <v>30</v>
      </c>
      <c r="B23" s="6" t="n">
        <v>9401288</v>
      </c>
      <c r="C23" s="6" t="n">
        <v>13076892</v>
      </c>
      <c r="D23" s="7" t="n">
        <f aca="false">(C23/B23)^(1/10)-1</f>
        <v>0.0335505394427773</v>
      </c>
      <c r="E23" s="8" t="n">
        <f aca="false">C23*(1+D23)^9</f>
        <v>17599081.353706</v>
      </c>
      <c r="F23" s="8" t="n">
        <f aca="false">C23*(1+D23)^14</f>
        <v>20756235.4644331</v>
      </c>
      <c r="G23" s="9" t="n">
        <f aca="false">E23/$E$42</f>
        <v>0.0677275731541091</v>
      </c>
      <c r="H23" s="9" t="n">
        <f aca="false">F23/$F$42</f>
        <v>0.0675389136761067</v>
      </c>
      <c r="I23" s="5" t="n">
        <f aca="false">RANK(E23,$E$5:$E$41)</f>
        <v>1</v>
      </c>
      <c r="J23" s="5" t="n">
        <f aca="false">RANK(F23,$F$5:$F$41)</f>
        <v>1</v>
      </c>
    </row>
    <row r="24" customFormat="false" ht="15" hidden="false" customHeight="true" outlineLevel="0" collapsed="false">
      <c r="A24" s="5" t="s">
        <v>31</v>
      </c>
      <c r="B24" s="6" t="n">
        <v>5801584</v>
      </c>
      <c r="C24" s="6" t="n">
        <v>7831319</v>
      </c>
      <c r="D24" s="7" t="n">
        <f aca="false">(C24/B24)^(1/10)-1</f>
        <v>0.0304545305285626</v>
      </c>
      <c r="E24" s="8" t="n">
        <f aca="false">C24*(1+D24)^9</f>
        <v>10258749.1854759</v>
      </c>
      <c r="F24" s="8" t="n">
        <f aca="false">C24*(1+D24)^14</f>
        <v>11918965.8931695</v>
      </c>
      <c r="G24" s="9" t="n">
        <f aca="false">E24/$E$42</f>
        <v>0.0394793439478399</v>
      </c>
      <c r="H24" s="9" t="n">
        <f aca="false">F24/$F$42</f>
        <v>0.0387832374491337</v>
      </c>
      <c r="I24" s="5" t="n">
        <f aca="false">RANK(E24,$E$5:$E$41)</f>
        <v>5</v>
      </c>
      <c r="J24" s="5" t="n">
        <f aca="false">RANK(F24,$F$5:$F$41)</f>
        <v>6</v>
      </c>
    </row>
    <row r="25" customFormat="false" ht="15" hidden="false" customHeight="true" outlineLevel="0" collapsed="false">
      <c r="A25" s="5" t="s">
        <v>32</v>
      </c>
      <c r="B25" s="6" t="n">
        <v>3256541</v>
      </c>
      <c r="C25" s="6" t="n">
        <v>4440050</v>
      </c>
      <c r="D25" s="7" t="n">
        <f aca="false">(C25/B25)^(1/10)-1</f>
        <v>0.0314855088905393</v>
      </c>
      <c r="E25" s="8" t="n">
        <f aca="false">C25*(1+D25)^9</f>
        <v>5868890.95339221</v>
      </c>
      <c r="F25" s="8" t="n">
        <f aca="false">C25*(1+D25)^14</f>
        <v>6852857.41081163</v>
      </c>
      <c r="G25" s="9" t="n">
        <f aca="false">E25/$E$42</f>
        <v>0.0225855959973534</v>
      </c>
      <c r="H25" s="9" t="n">
        <f aca="false">F25/$F$42</f>
        <v>0.0222985784631595</v>
      </c>
      <c r="I25" s="5" t="n">
        <f aca="false">RANK(E25,$E$5:$E$41)</f>
        <v>22</v>
      </c>
      <c r="J25" s="5" t="n">
        <f aca="false">RANK(F25,$F$5:$F$41)</f>
        <v>22</v>
      </c>
    </row>
    <row r="26" customFormat="false" ht="15" hidden="false" customHeight="true" outlineLevel="0" collapsed="false">
      <c r="A26" s="5" t="s">
        <v>33</v>
      </c>
      <c r="B26" s="6" t="n">
        <v>3314043</v>
      </c>
      <c r="C26" s="6" t="n">
        <v>4473490</v>
      </c>
      <c r="D26" s="7" t="n">
        <f aca="false">(C26/B26)^(1/10)-1</f>
        <v>0.0304545309075108</v>
      </c>
      <c r="E26" s="8" t="n">
        <f aca="false">C26*(1+D26)^9</f>
        <v>5860112.71480913</v>
      </c>
      <c r="F26" s="8" t="n">
        <f aca="false">C26*(1+D26)^14</f>
        <v>6808479.51768391</v>
      </c>
      <c r="G26" s="9" t="n">
        <f aca="false">E26/$E$42</f>
        <v>0.0225518141888686</v>
      </c>
      <c r="H26" s="9" t="n">
        <f aca="false">F26/$F$42</f>
        <v>0.0221541768110287</v>
      </c>
      <c r="I26" s="5" t="n">
        <f aca="false">RANK(E26,$E$5:$E$41)</f>
        <v>23</v>
      </c>
      <c r="J26" s="5" t="n">
        <f aca="false">RANK(F26,$F$5:$F$41)</f>
        <v>23</v>
      </c>
    </row>
    <row r="27" customFormat="false" ht="15" hidden="false" customHeight="true" outlineLevel="0" collapsed="false">
      <c r="A27" s="5" t="s">
        <v>34</v>
      </c>
      <c r="B27" s="6" t="n">
        <v>2365353</v>
      </c>
      <c r="C27" s="6" t="n">
        <v>3192893</v>
      </c>
      <c r="D27" s="7" t="n">
        <f aca="false">(C27/B27)^(1/10)-1</f>
        <v>0.0304545475058748</v>
      </c>
      <c r="E27" s="8" t="n">
        <f aca="false">C27*(1+D27)^9</f>
        <v>4182576.82007167</v>
      </c>
      <c r="F27" s="8" t="n">
        <f aca="false">C27*(1+D27)^14</f>
        <v>4859461.29195476</v>
      </c>
      <c r="G27" s="9" t="n">
        <f aca="false">E27/$E$42</f>
        <v>0.0160960547804067</v>
      </c>
      <c r="H27" s="9" t="n">
        <f aca="false">F27/$F$42</f>
        <v>0.015812247710916</v>
      </c>
      <c r="I27" s="5" t="n">
        <f aca="false">RANK(E27,$E$5:$E$41)</f>
        <v>33</v>
      </c>
      <c r="J27" s="5" t="n">
        <f aca="false">RANK(F27,$F$5:$F$41)</f>
        <v>33</v>
      </c>
    </row>
    <row r="28" customFormat="false" ht="15" hidden="false" customHeight="true" outlineLevel="0" collapsed="false">
      <c r="A28" s="5" t="s">
        <v>35</v>
      </c>
      <c r="B28" s="6" t="n">
        <v>9113605</v>
      </c>
      <c r="C28" s="6" t="n">
        <v>12550598</v>
      </c>
      <c r="D28" s="7" t="n">
        <f aca="false">(C28/B28)^(1/10)-1</f>
        <v>0.0325175013670047</v>
      </c>
      <c r="E28" s="8" t="n">
        <f aca="false">C28*(1+D28)^9</f>
        <v>16739451.1790045</v>
      </c>
      <c r="F28" s="8" t="n">
        <f aca="false">C28*(1+D28)^14</f>
        <v>19643927.55838</v>
      </c>
      <c r="G28" s="9" t="n">
        <f aca="false">E28/$E$42</f>
        <v>0.0644194081213749</v>
      </c>
      <c r="H28" s="9" t="n">
        <f aca="false">F28/$F$42</f>
        <v>0.063919564311098</v>
      </c>
      <c r="I28" s="5" t="n">
        <f aca="false">RANK(E28,$E$5:$E$41)</f>
        <v>2</v>
      </c>
      <c r="J28" s="5" t="n">
        <f aca="false">RANK(F28,$F$5:$F$41)</f>
        <v>2</v>
      </c>
    </row>
    <row r="29" customFormat="false" ht="15" hidden="false" customHeight="true" outlineLevel="0" collapsed="false">
      <c r="A29" s="5" t="s">
        <v>36</v>
      </c>
      <c r="B29" s="6" t="n">
        <v>1869377</v>
      </c>
      <c r="C29" s="6" t="n">
        <v>2523395</v>
      </c>
      <c r="D29" s="7" t="n">
        <f aca="false">(C29/B29)^(1/10)-1</f>
        <v>0.0304545336215196</v>
      </c>
      <c r="E29" s="8" t="n">
        <f aca="false">C29*(1+D29)^9</f>
        <v>3305557.73557301</v>
      </c>
      <c r="F29" s="8" t="n">
        <f aca="false">C29*(1+D29)^14</f>
        <v>3840510.1623173</v>
      </c>
      <c r="G29" s="9" t="n">
        <f aca="false">E29/$E$42</f>
        <v>0.0127209709900005</v>
      </c>
      <c r="H29" s="9" t="n">
        <f aca="false">F29/$F$42</f>
        <v>0.0124966728561847</v>
      </c>
      <c r="I29" s="5" t="n">
        <f aca="false">RANK(E29,$E$5:$E$41)</f>
        <v>36</v>
      </c>
      <c r="J29" s="5" t="n">
        <f aca="false">RANK(F29,$F$5:$F$41)</f>
        <v>36</v>
      </c>
    </row>
    <row r="30" customFormat="false" ht="15" hidden="false" customHeight="true" outlineLevel="0" collapsed="false">
      <c r="A30" s="5" t="s">
        <v>37</v>
      </c>
      <c r="B30" s="6" t="n">
        <v>3954772</v>
      </c>
      <c r="C30" s="6" t="n">
        <v>5556247</v>
      </c>
      <c r="D30" s="7" t="n">
        <f aca="false">(C30/B30)^(1/10)-1</f>
        <v>0.0345845994172973</v>
      </c>
      <c r="E30" s="8" t="n">
        <f aca="false">C30*(1+D30)^9</f>
        <v>7545284.6369457</v>
      </c>
      <c r="F30" s="8" t="n">
        <f aca="false">C30*(1+D30)^14</f>
        <v>8943462.16877297</v>
      </c>
      <c r="G30" s="9" t="n">
        <f aca="false">E30/$E$42</f>
        <v>0.0290369597677724</v>
      </c>
      <c r="H30" s="9" t="n">
        <f aca="false">F30/$F$42</f>
        <v>0.0291012173386318</v>
      </c>
      <c r="I30" s="5" t="n">
        <f aca="false">RANK(E30,$E$5:$E$41)</f>
        <v>12</v>
      </c>
      <c r="J30" s="5" t="n">
        <f aca="false">RANK(F30,$F$5:$F$41)</f>
        <v>10</v>
      </c>
    </row>
    <row r="31" customFormat="false" ht="15" hidden="false" customHeight="true" outlineLevel="0" collapsed="false">
      <c r="A31" s="5" t="s">
        <v>38</v>
      </c>
      <c r="B31" s="6" t="n">
        <v>3751140</v>
      </c>
      <c r="C31" s="6" t="n">
        <v>5217716</v>
      </c>
      <c r="D31" s="7" t="n">
        <f aca="false">(C31/B31)^(1/10)-1</f>
        <v>0.0335505355687009</v>
      </c>
      <c r="E31" s="8" t="n">
        <f aca="false">C31*(1+D31)^9</f>
        <v>7022081.79640559</v>
      </c>
      <c r="F31" s="8" t="n">
        <f aca="false">C31*(1+D31)^14</f>
        <v>8281794.80256718</v>
      </c>
      <c r="G31" s="9" t="n">
        <f aca="false">E31/$E$42</f>
        <v>0.0270234877038084</v>
      </c>
      <c r="H31" s="9" t="n">
        <f aca="false">F31/$F$42</f>
        <v>0.0269482115488755</v>
      </c>
      <c r="I31" s="5" t="n">
        <f aca="false">RANK(E31,$E$5:$E$41)</f>
        <v>17</v>
      </c>
      <c r="J31" s="5" t="n">
        <f aca="false">RANK(F31,$F$5:$F$41)</f>
        <v>16</v>
      </c>
    </row>
    <row r="32" customFormat="false" ht="15" hidden="false" customHeight="true" outlineLevel="0" collapsed="false">
      <c r="A32" s="5" t="s">
        <v>39</v>
      </c>
      <c r="B32" s="6" t="n">
        <v>3460877</v>
      </c>
      <c r="C32" s="6" t="n">
        <v>4671695</v>
      </c>
      <c r="D32" s="7" t="n">
        <f aca="false">(C32/B32)^(1/10)-1</f>
        <v>0.0304545273277557</v>
      </c>
      <c r="E32" s="8" t="n">
        <f aca="false">C32*(1+D32)^9</f>
        <v>6119754.02052137</v>
      </c>
      <c r="F32" s="8" t="n">
        <f aca="false">C32*(1+D32)^14</f>
        <v>7110139.54952694</v>
      </c>
      <c r="G32" s="9" t="n">
        <f aca="false">E32/$E$42</f>
        <v>0.0235510069974609</v>
      </c>
      <c r="H32" s="9" t="n">
        <f aca="false">F32/$F$42</f>
        <v>0.0231357512822323</v>
      </c>
      <c r="I32" s="5" t="n">
        <f aca="false">RANK(E32,$E$5:$E$41)</f>
        <v>20</v>
      </c>
      <c r="J32" s="5" t="n">
        <f aca="false">RANK(F32,$F$5:$F$41)</f>
        <v>20</v>
      </c>
    </row>
    <row r="33" customFormat="false" ht="15" hidden="false" customHeight="true" outlineLevel="0" collapsed="false">
      <c r="A33" s="5" t="s">
        <v>40</v>
      </c>
      <c r="B33" s="6" t="n">
        <v>3416959</v>
      </c>
      <c r="C33" s="6" t="n">
        <v>4705589</v>
      </c>
      <c r="D33" s="7" t="n">
        <f aca="false">(C33/B33)^(1/10)-1</f>
        <v>0.032517502924424</v>
      </c>
      <c r="E33" s="8" t="n">
        <f aca="false">C33*(1+D33)^9</f>
        <v>6276113.56871411</v>
      </c>
      <c r="F33" s="8" t="n">
        <f aca="false">C33*(1+D33)^14</f>
        <v>7365087.41555613</v>
      </c>
      <c r="G33" s="9" t="n">
        <f aca="false">E33/$E$42</f>
        <v>0.0241527345834487</v>
      </c>
      <c r="H33" s="9" t="n">
        <f aca="false">F33/$F$42</f>
        <v>0.0239653285890208</v>
      </c>
      <c r="I33" s="5" t="n">
        <f aca="false">RANK(E33,$E$5:$E$41)</f>
        <v>19</v>
      </c>
      <c r="J33" s="5" t="n">
        <f aca="false">RANK(F33,$F$5:$F$41)</f>
        <v>19</v>
      </c>
    </row>
    <row r="34" customFormat="false" ht="15" hidden="false" customHeight="true" outlineLevel="0" collapsed="false">
      <c r="A34" s="5" t="s">
        <v>41</v>
      </c>
      <c r="B34" s="6" t="n">
        <v>5580894</v>
      </c>
      <c r="C34" s="6" t="n">
        <v>7840864</v>
      </c>
      <c r="D34" s="7" t="n">
        <f aca="false">(C34/B34)^(1/10)-1</f>
        <v>0.0345846122898381</v>
      </c>
      <c r="E34" s="8" t="n">
        <f aca="false">C34*(1+D34)^9</f>
        <v>10647755.0952102</v>
      </c>
      <c r="F34" s="8" t="n">
        <f aca="false">C34*(1+D34)^14</f>
        <v>12620836.1092592</v>
      </c>
      <c r="G34" s="9" t="n">
        <f aca="false">E34/$E$42</f>
        <v>0.0409763781213515</v>
      </c>
      <c r="H34" s="9" t="n">
        <f aca="false">F34/$F$42</f>
        <v>0.0410670596777618</v>
      </c>
      <c r="I34" s="5" t="n">
        <f aca="false">RANK(E34,$E$5:$E$41)</f>
        <v>4</v>
      </c>
      <c r="J34" s="5" t="n">
        <f aca="false">RANK(F34,$F$5:$F$41)</f>
        <v>4</v>
      </c>
    </row>
    <row r="35" customFormat="false" ht="15" hidden="false" customHeight="true" outlineLevel="0" collapsed="false">
      <c r="A35" s="5" t="s">
        <v>42</v>
      </c>
      <c r="B35" s="6" t="n">
        <v>3206531</v>
      </c>
      <c r="C35" s="6" t="n">
        <v>4200442</v>
      </c>
      <c r="D35" s="7" t="n">
        <f aca="false">(C35/B35)^(1/10)-1</f>
        <v>0.0273678120534853</v>
      </c>
      <c r="E35" s="8" t="n">
        <f aca="false">C35*(1+D35)^9</f>
        <v>5355852.23750307</v>
      </c>
      <c r="F35" s="8" t="n">
        <f aca="false">C35*(1+D35)^14</f>
        <v>6129970.1745245</v>
      </c>
      <c r="G35" s="9" t="n">
        <f aca="false">E35/$E$42</f>
        <v>0.0206112391282118</v>
      </c>
      <c r="H35" s="9" t="n">
        <f aca="false">F35/$F$42</f>
        <v>0.019946368750911</v>
      </c>
      <c r="I35" s="5" t="n">
        <f aca="false">RANK(E35,$E$5:$E$41)</f>
        <v>27</v>
      </c>
      <c r="J35" s="5" t="n">
        <f aca="false">RANK(F35,$F$5:$F$41)</f>
        <v>27</v>
      </c>
    </row>
    <row r="36" customFormat="false" ht="15" hidden="false" customHeight="true" outlineLevel="0" collapsed="false">
      <c r="A36" s="5" t="s">
        <v>43</v>
      </c>
      <c r="B36" s="6" t="n">
        <v>5198716</v>
      </c>
      <c r="C36" s="6" t="n">
        <v>7303924</v>
      </c>
      <c r="D36" s="7" t="n">
        <f aca="false">(C36/B36)^(1/10)-1</f>
        <v>0.0345846135523624</v>
      </c>
      <c r="E36" s="8" t="n">
        <f aca="false">C36*(1+D36)^9</f>
        <v>9918600.14918901</v>
      </c>
      <c r="F36" s="8" t="n">
        <f aca="false">C36*(1+D36)^14</f>
        <v>11756565.2628792</v>
      </c>
      <c r="G36" s="9" t="n">
        <f aca="false">E36/$E$42</f>
        <v>0.0381703285353071</v>
      </c>
      <c r="H36" s="9" t="n">
        <f aca="false">F36/$F$42</f>
        <v>0.0382548004804494</v>
      </c>
      <c r="I36" s="5" t="n">
        <f aca="false">RANK(E36,$E$5:$E$41)</f>
        <v>6</v>
      </c>
      <c r="J36" s="5" t="n">
        <f aca="false">RANK(F36,$F$5:$F$41)</f>
        <v>7</v>
      </c>
    </row>
    <row r="37" customFormat="false" ht="15" hidden="false" customHeight="true" outlineLevel="0" collapsed="false">
      <c r="A37" s="5" t="s">
        <v>44</v>
      </c>
      <c r="B37" s="6" t="n">
        <v>3702676</v>
      </c>
      <c r="C37" s="6" t="n">
        <v>4998090</v>
      </c>
      <c r="D37" s="7" t="n">
        <f aca="false">(C37/B37)^(1/10)-1</f>
        <v>0.0304545378666112</v>
      </c>
      <c r="E37" s="8" t="n">
        <f aca="false">C37*(1+D37)^9</f>
        <v>6547320.44533313</v>
      </c>
      <c r="F37" s="8" t="n">
        <f aca="false">C37*(1+D37)^14</f>
        <v>7606901.23593697</v>
      </c>
      <c r="G37" s="9" t="n">
        <f aca="false">E37/$E$42</f>
        <v>0.0251964358543815</v>
      </c>
      <c r="H37" s="9" t="n">
        <f aca="false">F37/$F$42</f>
        <v>0.0247521688986895</v>
      </c>
      <c r="I37" s="5" t="n">
        <f aca="false">RANK(E37,$E$5:$E$41)</f>
        <v>18</v>
      </c>
      <c r="J37" s="5" t="n">
        <f aca="false">RANK(F37,$F$5:$F$41)</f>
        <v>18</v>
      </c>
    </row>
    <row r="38" customFormat="false" ht="15" hidden="false" customHeight="true" outlineLevel="0" collapsed="false">
      <c r="A38" s="5" t="s">
        <v>45</v>
      </c>
      <c r="B38" s="6" t="n">
        <v>2294800</v>
      </c>
      <c r="C38" s="6" t="n">
        <v>3066834</v>
      </c>
      <c r="D38" s="7" t="n">
        <f aca="false">(C38/B38)^(1/10)-1</f>
        <v>0.0294246012044865</v>
      </c>
      <c r="E38" s="8" t="n">
        <f aca="false">C38*(1+D38)^9</f>
        <v>3981448.97833349</v>
      </c>
      <c r="F38" s="8" t="n">
        <f aca="false">C38*(1+D38)^14</f>
        <v>4602712.71639653</v>
      </c>
      <c r="G38" s="9" t="n">
        <f aca="false">E38/$E$42</f>
        <v>0.0153220427543879</v>
      </c>
      <c r="H38" s="9" t="n">
        <f aca="false">F38/$F$42</f>
        <v>0.0149768110581181</v>
      </c>
      <c r="I38" s="5" t="n">
        <f aca="false">RANK(E38,$E$5:$E$41)</f>
        <v>34</v>
      </c>
      <c r="J38" s="5" t="n">
        <f aca="false">RANK(F38,$F$5:$F$41)</f>
        <v>34</v>
      </c>
    </row>
    <row r="39" customFormat="false" ht="15" hidden="false" customHeight="true" outlineLevel="0" collapsed="false">
      <c r="A39" s="5" t="s">
        <v>46</v>
      </c>
      <c r="B39" s="6" t="n">
        <v>2321339</v>
      </c>
      <c r="C39" s="6" t="n">
        <v>3294137</v>
      </c>
      <c r="D39" s="7" t="n">
        <f aca="false">(C39/B39)^(1/10)-1</f>
        <v>0.0356197136982115</v>
      </c>
      <c r="E39" s="8" t="n">
        <f aca="false">C39*(1+D39)^9</f>
        <v>4513822.08797555</v>
      </c>
      <c r="F39" s="8" t="n">
        <f aca="false">C39*(1+D39)^14</f>
        <v>5377073.61193273</v>
      </c>
      <c r="G39" s="9" t="n">
        <f aca="false">E39/$E$42</f>
        <v>0.0173708053007904</v>
      </c>
      <c r="H39" s="9" t="n">
        <f aca="false">F39/$F$42</f>
        <v>0.0174965114039438</v>
      </c>
      <c r="I39" s="5" t="n">
        <f aca="false">RANK(E39,$E$5:$E$41)</f>
        <v>30</v>
      </c>
      <c r="J39" s="5" t="n">
        <f aca="false">RANK(F39,$F$5:$F$41)</f>
        <v>30</v>
      </c>
    </row>
    <row r="40" customFormat="false" ht="15" hidden="false" customHeight="true" outlineLevel="0" collapsed="false">
      <c r="A40" s="5" t="s">
        <v>47</v>
      </c>
      <c r="B40" s="6" t="n">
        <v>3278873</v>
      </c>
      <c r="C40" s="6" t="n">
        <v>4515427</v>
      </c>
      <c r="D40" s="7" t="n">
        <f aca="false">(C40/B40)^(1/10)-1</f>
        <v>0.0325175042982739</v>
      </c>
      <c r="E40" s="8" t="n">
        <f aca="false">C40*(1+D40)^9</f>
        <v>6022483.6896313</v>
      </c>
      <c r="F40" s="8" t="n">
        <f aca="false">C40*(1+D40)^14</f>
        <v>7067450.04569459</v>
      </c>
      <c r="G40" s="9" t="n">
        <f aca="false">E40/$E$42</f>
        <v>0.0231766758992247</v>
      </c>
      <c r="H40" s="9" t="n">
        <f aca="false">F40/$F$42</f>
        <v>0.0229968434962251</v>
      </c>
      <c r="I40" s="5" t="n">
        <f aca="false">RANK(E40,$E$5:$E$41)</f>
        <v>21</v>
      </c>
      <c r="J40" s="5" t="n">
        <f aca="false">RANK(F40,$F$5:$F$41)</f>
        <v>21</v>
      </c>
    </row>
    <row r="41" customFormat="false" ht="15" hidden="false" customHeight="true" outlineLevel="0" collapsed="false">
      <c r="A41" s="10" t="s">
        <v>48</v>
      </c>
      <c r="B41" s="11" t="n">
        <v>1406239</v>
      </c>
      <c r="C41" s="11" t="n">
        <v>3564126</v>
      </c>
      <c r="D41" s="12" t="n">
        <f aca="false">(C41/B41)^(1/10)-1</f>
        <v>0.0974617460013914</v>
      </c>
      <c r="E41" s="13" t="n">
        <f aca="false">C41*(1+D41)^9</f>
        <v>8231094.13477791</v>
      </c>
      <c r="F41" s="13" t="n">
        <f aca="false">C41*(1+D41)^14</f>
        <v>13104019.2934263</v>
      </c>
      <c r="G41" s="14" t="n">
        <f aca="false">E41/$E$42</f>
        <v>0.0316762005327134</v>
      </c>
      <c r="H41" s="14" t="n">
        <f aca="false">F41/$F$42</f>
        <v>0.0426392940755228</v>
      </c>
      <c r="I41" s="10" t="n">
        <f aca="false">RANK(E41,$E$5:$E$41)</f>
        <v>8</v>
      </c>
      <c r="J41" s="10" t="n">
        <f aca="false">RANK(F41,$F$5:$F$41)</f>
        <v>3</v>
      </c>
    </row>
    <row r="42" customFormat="false" ht="15" hidden="false" customHeight="true" outlineLevel="0" collapsed="false">
      <c r="A42" s="15" t="s">
        <v>49</v>
      </c>
      <c r="B42" s="16" t="n">
        <f aca="false">SUM(B5:B41)</f>
        <v>140431790</v>
      </c>
      <c r="C42" s="16" t="n">
        <f aca="false">SUM(C5:C41)</f>
        <v>193500543</v>
      </c>
      <c r="D42" s="17"/>
      <c r="E42" s="16" t="n">
        <f aca="false">SUM(E5:E41)</f>
        <v>259851055.251317</v>
      </c>
      <c r="F42" s="16" t="n">
        <f aca="false">SUM(F5:F41)</f>
        <v>307322613.508011</v>
      </c>
      <c r="G42" s="17"/>
      <c r="H42" s="17"/>
      <c r="I42" s="17"/>
      <c r="J42" s="17"/>
    </row>
    <row r="44" customFormat="false" ht="39.75" hidden="false" customHeight="true" outlineLevel="0" collapsed="false">
      <c r="A44" s="18" t="s">
        <v>50</v>
      </c>
      <c r="B44" s="18"/>
      <c r="C44" s="18"/>
      <c r="D44" s="18"/>
      <c r="E44" s="18"/>
      <c r="F44" s="18"/>
      <c r="G44" s="18"/>
      <c r="H44" s="18"/>
      <c r="I44" s="18"/>
      <c r="J44" s="18"/>
    </row>
  </sheetData>
  <mergeCells count="3">
    <mergeCell ref="A1:J1"/>
    <mergeCell ref="A2:J2"/>
    <mergeCell ref="A44:J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5"/>
    <col collapsed="false" customWidth="true" hidden="false" outlineLevel="0" max="3" min="3" style="1" width="18"/>
    <col collapsed="false" customWidth="true" hidden="false" outlineLevel="0" max="5" min="4" style="1" width="22"/>
  </cols>
  <sheetData>
    <row r="1" customFormat="false" ht="17.25" hidden="false" customHeight="true" outlineLevel="0" collapsed="false">
      <c r="A1" s="2" t="s">
        <v>51</v>
      </c>
      <c r="B1" s="2"/>
      <c r="C1" s="2"/>
      <c r="D1" s="2"/>
      <c r="E1" s="2"/>
      <c r="F1" s="2"/>
    </row>
    <row r="2" customFormat="false" ht="42" hidden="false" customHeight="true" outlineLevel="0" collapsed="false">
      <c r="A2" s="3" t="s">
        <v>52</v>
      </c>
      <c r="B2" s="3"/>
      <c r="C2" s="3"/>
      <c r="D2" s="3"/>
      <c r="E2" s="3"/>
      <c r="F2" s="3"/>
    </row>
    <row r="4" customFormat="false" ht="15" hidden="false" customHeight="true" outlineLevel="0" collapsed="false">
      <c r="A4" s="19" t="s">
        <v>53</v>
      </c>
      <c r="C4" s="20" t="n">
        <v>237527781</v>
      </c>
      <c r="D4" s="21" t="s">
        <v>54</v>
      </c>
    </row>
    <row r="5" customFormat="false" ht="15" hidden="false" customHeight="true" outlineLevel="0" collapsed="false">
      <c r="A5" s="19" t="s">
        <v>55</v>
      </c>
      <c r="C5" s="20" t="n">
        <v>262432485</v>
      </c>
      <c r="D5" s="21" t="s">
        <v>56</v>
      </c>
    </row>
    <row r="7" customFormat="false" ht="33.75" hidden="false" customHeight="true" outlineLevel="0" collapsed="false">
      <c r="A7" s="4" t="s">
        <v>2</v>
      </c>
      <c r="B7" s="4" t="s">
        <v>4</v>
      </c>
      <c r="C7" s="4" t="s">
        <v>57</v>
      </c>
      <c r="D7" s="4" t="s">
        <v>58</v>
      </c>
      <c r="E7" s="4" t="s">
        <v>59</v>
      </c>
    </row>
    <row r="8" customFormat="false" ht="15" hidden="false" customHeight="true" outlineLevel="0" collapsed="false">
      <c r="A8" s="5" t="s">
        <v>12</v>
      </c>
      <c r="B8" s="6" t="n">
        <v>3727347</v>
      </c>
      <c r="C8" s="9" t="n">
        <f aca="false">B8/$B$45</f>
        <v>0.0192627211387205</v>
      </c>
      <c r="D8" s="8" t="n">
        <f aca="false">C8*$C$4</f>
        <v>4575431.40810208</v>
      </c>
      <c r="E8" s="8" t="n">
        <f aca="false">C8*$C$5</f>
        <v>5055163.77629646</v>
      </c>
    </row>
    <row r="9" customFormat="false" ht="15" hidden="false" customHeight="true" outlineLevel="0" collapsed="false">
      <c r="A9" s="5" t="s">
        <v>13</v>
      </c>
      <c r="B9" s="6" t="n">
        <v>4248436</v>
      </c>
      <c r="C9" s="9" t="n">
        <f aca="false">B9/$B$45</f>
        <v>0.021955679990004</v>
      </c>
      <c r="D9" s="8" t="n">
        <f aca="false">C9*$C$4</f>
        <v>5215083.94837174</v>
      </c>
      <c r="E9" s="8" t="n">
        <f aca="false">C9*$C$5</f>
        <v>5761883.65964151</v>
      </c>
    </row>
    <row r="10" customFormat="false" ht="15" hidden="false" customHeight="true" outlineLevel="0" collapsed="false">
      <c r="A10" s="5" t="s">
        <v>14</v>
      </c>
      <c r="B10" s="6" t="n">
        <v>5482177</v>
      </c>
      <c r="C10" s="9" t="n">
        <f aca="false">B10/$B$45</f>
        <v>0.0283315845785508</v>
      </c>
      <c r="D10" s="8" t="n">
        <f aca="false">C10*$C$4</f>
        <v>6729538.41715698</v>
      </c>
      <c r="E10" s="8" t="n">
        <f aca="false">C10*$C$5</f>
        <v>7435128.14493676</v>
      </c>
    </row>
    <row r="11" customFormat="false" ht="15" hidden="false" customHeight="true" outlineLevel="0" collapsed="false">
      <c r="A11" s="5" t="s">
        <v>15</v>
      </c>
      <c r="B11" s="6" t="n">
        <v>5527809</v>
      </c>
      <c r="C11" s="9" t="n">
        <f aca="false">B11/$B$45</f>
        <v>0.0285674082061878</v>
      </c>
      <c r="D11" s="8" t="n">
        <f aca="false">C11*$C$4</f>
        <v>6785553.08013699</v>
      </c>
      <c r="E11" s="8" t="n">
        <f aca="false">C11*$C$5</f>
        <v>7497015.92555926</v>
      </c>
    </row>
    <row r="12" customFormat="false" ht="15" hidden="false" customHeight="true" outlineLevel="0" collapsed="false">
      <c r="A12" s="5" t="s">
        <v>16</v>
      </c>
      <c r="B12" s="6" t="n">
        <v>6537314</v>
      </c>
      <c r="C12" s="9" t="n">
        <f aca="false">B12/$B$45</f>
        <v>0.0337844736694098</v>
      </c>
      <c r="D12" s="8" t="n">
        <f aca="false">C12*$C$4</f>
        <v>8024751.06294784</v>
      </c>
      <c r="E12" s="8" t="n">
        <f aca="false">C12*$C$5</f>
        <v>8866143.37948028</v>
      </c>
    </row>
    <row r="13" customFormat="false" ht="15" hidden="false" customHeight="true" outlineLevel="0" collapsed="false">
      <c r="A13" s="5" t="s">
        <v>17</v>
      </c>
      <c r="B13" s="6" t="n">
        <v>2277961</v>
      </c>
      <c r="C13" s="9" t="n">
        <f aca="false">B13/$B$45</f>
        <v>0.0117723752330762</v>
      </c>
      <c r="D13" s="8" t="n">
        <f aca="false">C13*$C$4</f>
        <v>2796266.16621195</v>
      </c>
      <c r="E13" s="8" t="n">
        <f aca="false">C13*$C$5</f>
        <v>3089453.68676865</v>
      </c>
    </row>
    <row r="14" customFormat="false" ht="15" hidden="false" customHeight="true" outlineLevel="0" collapsed="false">
      <c r="A14" s="5" t="s">
        <v>18</v>
      </c>
      <c r="B14" s="6" t="n">
        <v>5741815</v>
      </c>
      <c r="C14" s="9" t="n">
        <f aca="false">B14/$B$45</f>
        <v>0.0296733792628168</v>
      </c>
      <c r="D14" s="8" t="n">
        <f aca="false">C14*$C$4</f>
        <v>7048251.9310683</v>
      </c>
      <c r="E14" s="8" t="n">
        <f aca="false">C14*$C$5</f>
        <v>7787258.65828849</v>
      </c>
    </row>
    <row r="15" customFormat="false" ht="15" hidden="false" customHeight="true" outlineLevel="0" collapsed="false">
      <c r="A15" s="5" t="s">
        <v>19</v>
      </c>
      <c r="B15" s="6" t="n">
        <v>5860183</v>
      </c>
      <c r="C15" s="9" t="n">
        <f aca="false">B15/$B$45</f>
        <v>0.030285098476442</v>
      </c>
      <c r="D15" s="8" t="n">
        <f aca="false">C15*$C$4</f>
        <v>7193552.23847575</v>
      </c>
      <c r="E15" s="8" t="n">
        <f aca="false">C15*$C$5</f>
        <v>7947793.65164239</v>
      </c>
    </row>
    <row r="16" customFormat="false" ht="15" hidden="false" customHeight="true" outlineLevel="0" collapsed="false">
      <c r="A16" s="5" t="s">
        <v>20</v>
      </c>
      <c r="B16" s="6" t="n">
        <v>3866269</v>
      </c>
      <c r="C16" s="9" t="n">
        <f aca="false">B16/$B$45</f>
        <v>0.0199806622764878</v>
      </c>
      <c r="D16" s="8" t="n">
        <f aca="false">C16*$C$4</f>
        <v>4745962.37344455</v>
      </c>
      <c r="E16" s="8" t="n">
        <f aca="false">C16*$C$5</f>
        <v>5243574.85316444</v>
      </c>
    </row>
    <row r="17" customFormat="false" ht="15" hidden="false" customHeight="true" outlineLevel="0" collapsed="false">
      <c r="A17" s="5" t="s">
        <v>21</v>
      </c>
      <c r="B17" s="6" t="n">
        <v>5663362</v>
      </c>
      <c r="C17" s="9" t="n">
        <f aca="false">B17/$B$45</f>
        <v>0.0292679385401001</v>
      </c>
      <c r="D17" s="8" t="n">
        <f aca="false">C17*$C$4</f>
        <v>6951948.49587436</v>
      </c>
      <c r="E17" s="8" t="n">
        <f aca="false">C17*$C$5</f>
        <v>7680857.84190575</v>
      </c>
    </row>
    <row r="18" customFormat="false" ht="15" hidden="false" customHeight="true" outlineLevel="0" collapsed="false">
      <c r="A18" s="5" t="s">
        <v>22</v>
      </c>
      <c r="B18" s="6" t="n">
        <v>2880383</v>
      </c>
      <c r="C18" s="9" t="n">
        <f aca="false">B18/$B$45</f>
        <v>0.01488565848624</v>
      </c>
      <c r="D18" s="8" t="n">
        <f aca="false">C18*$C$4</f>
        <v>3535757.42896041</v>
      </c>
      <c r="E18" s="8" t="n">
        <f aca="false">C18*$C$5</f>
        <v>3906480.3474053</v>
      </c>
    </row>
    <row r="19" customFormat="false" ht="15" hidden="false" customHeight="true" outlineLevel="0" collapsed="false">
      <c r="A19" s="5" t="s">
        <v>23</v>
      </c>
      <c r="B19" s="6" t="n">
        <v>4235595</v>
      </c>
      <c r="C19" s="9" t="n">
        <f aca="false">B19/$B$45</f>
        <v>0.021889318419122</v>
      </c>
      <c r="D19" s="8" t="n">
        <f aca="false">C19*$C$4</f>
        <v>5199321.23169647</v>
      </c>
      <c r="E19" s="8" t="n">
        <f aca="false">C19*$C$5</f>
        <v>5744468.22768645</v>
      </c>
    </row>
    <row r="20" customFormat="false" ht="15" hidden="false" customHeight="true" outlineLevel="0" collapsed="false">
      <c r="A20" s="5" t="s">
        <v>24</v>
      </c>
      <c r="B20" s="6" t="n">
        <v>3270798</v>
      </c>
      <c r="C20" s="9" t="n">
        <f aca="false">B20/$B$45</f>
        <v>0.0169033014031387</v>
      </c>
      <c r="D20" s="8" t="n">
        <f aca="false">C20*$C$4</f>
        <v>4015003.67386172</v>
      </c>
      <c r="E20" s="8" t="n">
        <f aca="false">C20*$C$5</f>
        <v>4435975.39192968</v>
      </c>
    </row>
    <row r="21" customFormat="false" ht="15" hidden="false" customHeight="true" outlineLevel="0" collapsed="false">
      <c r="A21" s="5" t="s">
        <v>25</v>
      </c>
      <c r="B21" s="6" t="n">
        <v>4411119</v>
      </c>
      <c r="C21" s="9" t="n">
        <f aca="false">B21/$B$45</f>
        <v>0.0227964166488153</v>
      </c>
      <c r="D21" s="8" t="n">
        <f aca="false">C21*$C$4</f>
        <v>5414782.26134455</v>
      </c>
      <c r="E21" s="8" t="n">
        <f aca="false">C21*$C$5</f>
        <v>5982520.27024397</v>
      </c>
    </row>
    <row r="22" customFormat="false" ht="15" hidden="false" customHeight="true" outlineLevel="0" collapsed="false">
      <c r="A22" s="5" t="s">
        <v>26</v>
      </c>
      <c r="B22" s="6" t="n">
        <v>3256962</v>
      </c>
      <c r="C22" s="9" t="n">
        <f aca="false">B22/$B$45</f>
        <v>0.0168317977278234</v>
      </c>
      <c r="D22" s="8" t="n">
        <f aca="false">C22*$C$4</f>
        <v>3998019.56453074</v>
      </c>
      <c r="E22" s="8" t="n">
        <f aca="false">C22*$C$5</f>
        <v>4417210.50473006</v>
      </c>
    </row>
    <row r="23" customFormat="false" ht="15" hidden="false" customHeight="true" outlineLevel="0" collapsed="false">
      <c r="A23" s="5" t="s">
        <v>27</v>
      </c>
      <c r="B23" s="6" t="n">
        <v>5408756</v>
      </c>
      <c r="C23" s="9" t="n">
        <f aca="false">B23/$B$45</f>
        <v>0.0279521489508172</v>
      </c>
      <c r="D23" s="8" t="n">
        <f aca="false">C23*$C$4</f>
        <v>6639411.91446908</v>
      </c>
      <c r="E23" s="8" t="n">
        <f aca="false">C23*$C$5</f>
        <v>7335551.91025309</v>
      </c>
    </row>
    <row r="24" customFormat="false" ht="15" hidden="false" customHeight="true" outlineLevel="0" collapsed="false">
      <c r="A24" s="5" t="s">
        <v>28</v>
      </c>
      <c r="B24" s="6" t="n">
        <v>5828163</v>
      </c>
      <c r="C24" s="9" t="n">
        <f aca="false">B24/$B$45</f>
        <v>0.0301196209046297</v>
      </c>
      <c r="D24" s="8" t="n">
        <f aca="false">C24*$C$4</f>
        <v>7154246.71803791</v>
      </c>
      <c r="E24" s="8" t="n">
        <f aca="false">C24*$C$5</f>
        <v>7904366.96125992</v>
      </c>
    </row>
    <row r="25" customFormat="false" ht="15" hidden="false" customHeight="true" outlineLevel="0" collapsed="false">
      <c r="A25" s="5" t="s">
        <v>29</v>
      </c>
      <c r="B25" s="6" t="n">
        <v>8252366</v>
      </c>
      <c r="C25" s="9" t="n">
        <f aca="false">B25/$B$45</f>
        <v>0.0426477666266807</v>
      </c>
      <c r="D25" s="8" t="n">
        <f aca="false">C25*$C$4</f>
        <v>10130029.3714413</v>
      </c>
      <c r="E25" s="8" t="n">
        <f aca="false">C25*$C$5</f>
        <v>11192159.3755399</v>
      </c>
    </row>
    <row r="26" customFormat="false" ht="15" hidden="false" customHeight="true" outlineLevel="0" collapsed="false">
      <c r="A26" s="5" t="s">
        <v>30</v>
      </c>
      <c r="B26" s="6" t="n">
        <v>13076892</v>
      </c>
      <c r="C26" s="9" t="n">
        <f aca="false">B26/$B$45</f>
        <v>0.0675806475643844</v>
      </c>
      <c r="D26" s="8" t="n">
        <f aca="false">C26*$C$4</f>
        <v>16052281.2545113</v>
      </c>
      <c r="E26" s="8" t="n">
        <f aca="false">C26*$C$5</f>
        <v>17735357.2782306</v>
      </c>
    </row>
    <row r="27" customFormat="false" ht="15" hidden="false" customHeight="true" outlineLevel="0" collapsed="false">
      <c r="A27" s="5" t="s">
        <v>31</v>
      </c>
      <c r="B27" s="6" t="n">
        <v>7831319</v>
      </c>
      <c r="C27" s="9" t="n">
        <f aca="false">B27/$B$45</f>
        <v>0.0404718192444556</v>
      </c>
      <c r="D27" s="8" t="n">
        <f aca="false">C27*$C$4</f>
        <v>9613181.41816863</v>
      </c>
      <c r="E27" s="8" t="n">
        <f aca="false">C27*$C$5</f>
        <v>10621120.0967933</v>
      </c>
    </row>
    <row r="28" customFormat="false" ht="15" hidden="false" customHeight="true" outlineLevel="0" collapsed="false">
      <c r="A28" s="5" t="s">
        <v>32</v>
      </c>
      <c r="B28" s="6" t="n">
        <v>4440050</v>
      </c>
      <c r="C28" s="9" t="n">
        <f aca="false">B28/$B$45</f>
        <v>0.0229459304411358</v>
      </c>
      <c r="D28" s="8" t="n">
        <f aca="false">C28*$C$4</f>
        <v>5450295.94066333</v>
      </c>
      <c r="E28" s="8" t="n">
        <f aca="false">C28*$C$5</f>
        <v>6021757.54630441</v>
      </c>
    </row>
    <row r="29" customFormat="false" ht="15" hidden="false" customHeight="true" outlineLevel="0" collapsed="false">
      <c r="A29" s="5" t="s">
        <v>33</v>
      </c>
      <c r="B29" s="6" t="n">
        <v>4473490</v>
      </c>
      <c r="C29" s="9" t="n">
        <f aca="false">B29/$B$45</f>
        <v>0.0231187464936468</v>
      </c>
      <c r="D29" s="8" t="n">
        <f aca="false">C29*$C$4</f>
        <v>5491344.55413745</v>
      </c>
      <c r="E29" s="8" t="n">
        <f aca="false">C29*$C$5</f>
        <v>6067110.09241276</v>
      </c>
    </row>
    <row r="30" customFormat="false" ht="15" hidden="false" customHeight="true" outlineLevel="0" collapsed="false">
      <c r="A30" s="5" t="s">
        <v>34</v>
      </c>
      <c r="B30" s="6" t="n">
        <v>3192893</v>
      </c>
      <c r="C30" s="9" t="n">
        <f aca="false">B30/$B$45</f>
        <v>0.0165006927138184</v>
      </c>
      <c r="D30" s="8" t="n">
        <f aca="false">C30*$C$4</f>
        <v>3919372.92527615</v>
      </c>
      <c r="E30" s="8" t="n">
        <f aca="false">C30*$C$5</f>
        <v>4330317.79310875</v>
      </c>
    </row>
    <row r="31" customFormat="false" ht="15" hidden="false" customHeight="true" outlineLevel="0" collapsed="false">
      <c r="A31" s="5" t="s">
        <v>35</v>
      </c>
      <c r="B31" s="6" t="n">
        <v>12550598</v>
      </c>
      <c r="C31" s="9" t="n">
        <f aca="false">B31/$B$45</f>
        <v>0.0648607895637792</v>
      </c>
      <c r="D31" s="8" t="n">
        <f aca="false">C31*$C$4</f>
        <v>15406239.4189924</v>
      </c>
      <c r="E31" s="8" t="n">
        <f aca="false">C31*$C$5</f>
        <v>17021578.1842846</v>
      </c>
    </row>
    <row r="32" customFormat="false" ht="15" hidden="false" customHeight="true" outlineLevel="0" collapsed="false">
      <c r="A32" s="5" t="s">
        <v>36</v>
      </c>
      <c r="B32" s="6" t="n">
        <v>2523395</v>
      </c>
      <c r="C32" s="9" t="n">
        <f aca="false">B32/$B$45</f>
        <v>0.0130407644385783</v>
      </c>
      <c r="D32" s="8" t="n">
        <f aca="false">C32*$C$4</f>
        <v>3097543.83963923</v>
      </c>
      <c r="E32" s="8" t="n">
        <f aca="false">C32*$C$5</f>
        <v>3422320.21791575</v>
      </c>
    </row>
    <row r="33" customFormat="false" ht="15" hidden="false" customHeight="true" outlineLevel="0" collapsed="false">
      <c r="A33" s="5" t="s">
        <v>37</v>
      </c>
      <c r="B33" s="6" t="n">
        <v>5556247</v>
      </c>
      <c r="C33" s="9" t="n">
        <f aca="false">B33/$B$45</f>
        <v>0.0287143742020404</v>
      </c>
      <c r="D33" s="8" t="n">
        <f aca="false">C33*$C$4</f>
        <v>6820461.58701429</v>
      </c>
      <c r="E33" s="8" t="n">
        <f aca="false">C33*$C$5</f>
        <v>7535584.57706134</v>
      </c>
    </row>
    <row r="34" customFormat="false" ht="15" hidden="false" customHeight="true" outlineLevel="0" collapsed="false">
      <c r="A34" s="5" t="s">
        <v>38</v>
      </c>
      <c r="B34" s="6" t="n">
        <v>5217716</v>
      </c>
      <c r="C34" s="9" t="n">
        <f aca="false">B34/$B$45</f>
        <v>0.0269648648996298</v>
      </c>
      <c r="D34" s="8" t="n">
        <f aca="false">C34*$C$4</f>
        <v>6404904.52457385</v>
      </c>
      <c r="E34" s="8" t="n">
        <f aca="false">C34*$C$5</f>
        <v>7076456.50329911</v>
      </c>
    </row>
    <row r="35" customFormat="false" ht="15" hidden="false" customHeight="true" outlineLevel="0" collapsed="false">
      <c r="A35" s="5" t="s">
        <v>39</v>
      </c>
      <c r="B35" s="6" t="n">
        <v>4671695</v>
      </c>
      <c r="C35" s="9" t="n">
        <f aca="false">B35/$B$45</f>
        <v>0.0241430588646979</v>
      </c>
      <c r="D35" s="8" t="n">
        <f aca="false">C35*$C$4</f>
        <v>5734647.19868406</v>
      </c>
      <c r="E35" s="8" t="n">
        <f aca="false">C35*$C$5</f>
        <v>6335922.93336394</v>
      </c>
    </row>
    <row r="36" customFormat="false" ht="15" hidden="false" customHeight="true" outlineLevel="0" collapsed="false">
      <c r="A36" s="5" t="s">
        <v>40</v>
      </c>
      <c r="B36" s="6" t="n">
        <v>4705589</v>
      </c>
      <c r="C36" s="9" t="n">
        <f aca="false">B36/$B$45</f>
        <v>0.0243182211638548</v>
      </c>
      <c r="D36" s="8" t="n">
        <f aca="false">C36*$C$4</f>
        <v>5776253.11091767</v>
      </c>
      <c r="E36" s="8" t="n">
        <f aca="false">C36*$C$5</f>
        <v>6381891.21081001</v>
      </c>
    </row>
    <row r="37" customFormat="false" ht="15" hidden="false" customHeight="true" outlineLevel="0" collapsed="false">
      <c r="A37" s="5" t="s">
        <v>41</v>
      </c>
      <c r="B37" s="6" t="n">
        <v>7840864</v>
      </c>
      <c r="C37" s="9" t="n">
        <f aca="false">B37/$B$45</f>
        <v>0.0405211472714059</v>
      </c>
      <c r="D37" s="8" t="n">
        <f aca="false">C37*$C$4</f>
        <v>9624898.19495124</v>
      </c>
      <c r="E37" s="8" t="n">
        <f aca="false">C37*$C$5</f>
        <v>10634065.373486</v>
      </c>
    </row>
    <row r="38" customFormat="false" ht="15" hidden="false" customHeight="true" outlineLevel="0" collapsed="false">
      <c r="A38" s="5" t="s">
        <v>42</v>
      </c>
      <c r="B38" s="6" t="n">
        <v>4200442</v>
      </c>
      <c r="C38" s="9" t="n">
        <f aca="false">B38/$B$45</f>
        <v>0.0217076496782751</v>
      </c>
      <c r="D38" s="8" t="n">
        <f aca="false">C38*$C$4</f>
        <v>5156169.85880604</v>
      </c>
      <c r="E38" s="8" t="n">
        <f aca="false">C38*$C$5</f>
        <v>5696792.44857918</v>
      </c>
    </row>
    <row r="39" customFormat="false" ht="15" hidden="false" customHeight="true" outlineLevel="0" collapsed="false">
      <c r="A39" s="5" t="s">
        <v>43</v>
      </c>
      <c r="B39" s="6" t="n">
        <v>7303924</v>
      </c>
      <c r="C39" s="9" t="n">
        <f aca="false">B39/$B$45</f>
        <v>0.0377462713373368</v>
      </c>
      <c r="D39" s="8" t="n">
        <f aca="false">C39*$C$4</f>
        <v>8965788.0717815</v>
      </c>
      <c r="E39" s="8" t="n">
        <f aca="false">C39*$C$5</f>
        <v>9905847.78654156</v>
      </c>
    </row>
    <row r="40" customFormat="false" ht="15" hidden="false" customHeight="true" outlineLevel="0" collapsed="false">
      <c r="A40" s="5" t="s">
        <v>44</v>
      </c>
      <c r="B40" s="6" t="n">
        <v>4998090</v>
      </c>
      <c r="C40" s="9" t="n">
        <f aca="false">B40/$B$45</f>
        <v>0.0258298499968551</v>
      </c>
      <c r="D40" s="8" t="n">
        <f aca="false">C40*$C$4</f>
        <v>6135306.95331584</v>
      </c>
      <c r="E40" s="8" t="n">
        <f aca="false">C40*$C$5</f>
        <v>6778591.72185191</v>
      </c>
    </row>
    <row r="41" customFormat="false" ht="15" hidden="false" customHeight="true" outlineLevel="0" collapsed="false">
      <c r="A41" s="5" t="s">
        <v>45</v>
      </c>
      <c r="B41" s="6" t="n">
        <v>3066834</v>
      </c>
      <c r="C41" s="9" t="n">
        <f aca="false">B41/$B$45</f>
        <v>0.0158492268417045</v>
      </c>
      <c r="D41" s="8" t="n">
        <f aca="false">C41*$C$4</f>
        <v>3764631.68227571</v>
      </c>
      <c r="E41" s="8" t="n">
        <f aca="false">C41*$C$5</f>
        <v>4159351.98539722</v>
      </c>
    </row>
    <row r="42" customFormat="false" ht="15" hidden="false" customHeight="true" outlineLevel="0" collapsed="false">
      <c r="A42" s="5" t="s">
        <v>46</v>
      </c>
      <c r="B42" s="6" t="n">
        <v>3294137</v>
      </c>
      <c r="C42" s="9" t="n">
        <f aca="false">B42/$B$45</f>
        <v>0.0170239160517498</v>
      </c>
      <c r="D42" s="8" t="n">
        <f aca="false">C42*$C$4</f>
        <v>4043653.00370241</v>
      </c>
      <c r="E42" s="8" t="n">
        <f aca="false">C42*$C$5</f>
        <v>4467628.59389209</v>
      </c>
    </row>
    <row r="43" customFormat="false" ht="15" hidden="false" customHeight="true" outlineLevel="0" collapsed="false">
      <c r="A43" s="5" t="s">
        <v>47</v>
      </c>
      <c r="B43" s="6" t="n">
        <v>4515427</v>
      </c>
      <c r="C43" s="9" t="n">
        <f aca="false">B43/$B$45</f>
        <v>0.0233354745676347</v>
      </c>
      <c r="D43" s="8" t="n">
        <f aca="false">C43*$C$4</f>
        <v>5542823.4926322</v>
      </c>
      <c r="E43" s="8" t="n">
        <f aca="false">C43*$C$5</f>
        <v>6123986.57943867</v>
      </c>
    </row>
    <row r="44" customFormat="false" ht="15" hidden="false" customHeight="true" outlineLevel="0" collapsed="false">
      <c r="A44" s="5" t="s">
        <v>48</v>
      </c>
      <c r="B44" s="6" t="n">
        <v>3564126</v>
      </c>
      <c r="C44" s="9" t="n">
        <f aca="false">B44/$B$45</f>
        <v>0.0184192041259543</v>
      </c>
      <c r="D44" s="8" t="n">
        <f aca="false">C44*$C$4</f>
        <v>4375072.68382397</v>
      </c>
      <c r="E44" s="8" t="n">
        <f aca="false">C44*$C$5</f>
        <v>4833797.51049644</v>
      </c>
    </row>
    <row r="45" customFormat="false" ht="15" hidden="false" customHeight="true" outlineLevel="0" collapsed="false">
      <c r="A45" s="15" t="s">
        <v>49</v>
      </c>
      <c r="B45" s="16" t="n">
        <f aca="false">SUM(B8:B44)</f>
        <v>193500543</v>
      </c>
      <c r="C45" s="17"/>
      <c r="D45" s="16" t="n">
        <f aca="false">SUM(D8:D44)</f>
        <v>237527781</v>
      </c>
      <c r="E45" s="16" t="n">
        <f aca="false">SUM(E8:E44)</f>
        <v>262432485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8" min="2" style="1" width="13"/>
  </cols>
  <sheetData>
    <row r="1" customFormat="false" ht="17.25" hidden="false" customHeight="true" outlineLevel="0" collapsed="false">
      <c r="A1" s="22" t="s">
        <v>60</v>
      </c>
    </row>
    <row r="3" customFormat="false" ht="45" hidden="false" customHeight="true" outlineLevel="0" collapsed="false">
      <c r="A3" s="19" t="s">
        <v>61</v>
      </c>
      <c r="B3" s="23" t="s">
        <v>62</v>
      </c>
      <c r="C3" s="23"/>
      <c r="D3" s="23"/>
      <c r="E3" s="23"/>
      <c r="F3" s="23"/>
      <c r="G3" s="23"/>
      <c r="H3" s="23"/>
    </row>
    <row r="5" customFormat="false" ht="60" hidden="false" customHeight="true" outlineLevel="0" collapsed="false">
      <c r="A5" s="19" t="s">
        <v>63</v>
      </c>
      <c r="B5" s="23" t="s">
        <v>64</v>
      </c>
      <c r="C5" s="23"/>
      <c r="D5" s="23"/>
      <c r="E5" s="23"/>
      <c r="F5" s="23"/>
      <c r="G5" s="23"/>
      <c r="H5" s="23"/>
    </row>
    <row r="7" customFormat="false" ht="75" hidden="false" customHeight="true" outlineLevel="0" collapsed="false">
      <c r="A7" s="19" t="s">
        <v>65</v>
      </c>
      <c r="B7" s="23" t="s">
        <v>66</v>
      </c>
      <c r="C7" s="23"/>
      <c r="D7" s="23"/>
      <c r="E7" s="23"/>
      <c r="F7" s="23"/>
      <c r="G7" s="23"/>
      <c r="H7" s="23"/>
    </row>
    <row r="9" customFormat="false" ht="120" hidden="false" customHeight="true" outlineLevel="0" collapsed="false">
      <c r="A9" s="19" t="s">
        <v>67</v>
      </c>
      <c r="B9" s="23" t="s">
        <v>68</v>
      </c>
      <c r="C9" s="23"/>
      <c r="D9" s="23"/>
      <c r="E9" s="23"/>
      <c r="F9" s="23"/>
      <c r="G9" s="23"/>
      <c r="H9" s="23"/>
    </row>
    <row r="11" customFormat="false" ht="90" hidden="false" customHeight="true" outlineLevel="0" collapsed="false">
      <c r="A11" s="19" t="s">
        <v>69</v>
      </c>
      <c r="B11" s="23" t="s">
        <v>70</v>
      </c>
      <c r="C11" s="23"/>
      <c r="D11" s="23"/>
      <c r="E11" s="23"/>
      <c r="F11" s="23"/>
      <c r="G11" s="23"/>
      <c r="H11" s="23"/>
    </row>
    <row r="13" customFormat="false" ht="60" hidden="false" customHeight="true" outlineLevel="0" collapsed="false">
      <c r="A13" s="19" t="s">
        <v>71</v>
      </c>
      <c r="B13" s="23" t="s">
        <v>72</v>
      </c>
      <c r="C13" s="23"/>
      <c r="D13" s="23"/>
      <c r="E13" s="23"/>
      <c r="F13" s="23"/>
      <c r="G13" s="23"/>
      <c r="H13" s="23"/>
    </row>
    <row r="15" customFormat="false" ht="60" hidden="false" customHeight="true" outlineLevel="0" collapsed="false">
      <c r="A15" s="19" t="s">
        <v>73</v>
      </c>
      <c r="B15" s="23" t="s">
        <v>74</v>
      </c>
      <c r="C15" s="23"/>
      <c r="D15" s="23"/>
      <c r="E15" s="23"/>
      <c r="F15" s="23"/>
      <c r="G15" s="23"/>
      <c r="H15" s="23"/>
    </row>
    <row r="17" customFormat="false" ht="99.75" hidden="false" customHeight="true" outlineLevel="0" collapsed="false">
      <c r="A17" s="19" t="s">
        <v>75</v>
      </c>
      <c r="B17" s="23" t="s">
        <v>76</v>
      </c>
      <c r="C17" s="23"/>
      <c r="D17" s="23"/>
      <c r="E17" s="23"/>
      <c r="F17" s="23"/>
      <c r="G17" s="23"/>
      <c r="H17" s="23"/>
    </row>
    <row r="19" customFormat="false" ht="109.5" hidden="false" customHeight="true" outlineLevel="0" collapsed="false">
      <c r="A19" s="24" t="s">
        <v>77</v>
      </c>
      <c r="B19" s="23" t="s">
        <v>78</v>
      </c>
      <c r="C19" s="23"/>
      <c r="D19" s="23"/>
      <c r="E19" s="23"/>
      <c r="F19" s="23"/>
      <c r="G19" s="23"/>
      <c r="H19" s="23"/>
    </row>
  </sheetData>
  <mergeCells count="9">
    <mergeCell ref="B3:H3"/>
    <mergeCell ref="B5:H5"/>
    <mergeCell ref="B7:H7"/>
    <mergeCell ref="B9:H9"/>
    <mergeCell ref="B11:H11"/>
    <mergeCell ref="B13:H13"/>
    <mergeCell ref="B15:H15"/>
    <mergeCell ref="B17:H17"/>
    <mergeCell ref="B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5" min="3" style="0" width="12"/>
    <col collapsed="false" customWidth="true" hidden="false" outlineLevel="0" max="7" min="6" style="0" width="14"/>
    <col collapsed="false" customWidth="true" hidden="false" outlineLevel="0" max="9" min="8" style="0" width="13"/>
    <col collapsed="false" customWidth="true" hidden="false" outlineLevel="0" max="11" min="10" style="0" width="14"/>
    <col collapsed="false" customWidth="true" hidden="false" outlineLevel="0" max="13" min="12" style="0" width="13"/>
  </cols>
  <sheetData>
    <row r="1" customFormat="false" ht="17.35" hidden="false" customHeight="false" outlineLevel="0" collapsed="false">
      <c r="A1" s="25" t="s">
        <v>79</v>
      </c>
      <c r="B1" s="25"/>
      <c r="C1" s="25"/>
      <c r="D1" s="25"/>
      <c r="E1" s="25"/>
      <c r="F1" s="25"/>
      <c r="G1" s="25"/>
      <c r="H1" s="25"/>
      <c r="I1" s="25"/>
      <c r="J1" s="25"/>
      <c r="K1" s="25"/>
      <c r="L1" s="25"/>
    </row>
    <row r="2" customFormat="false" ht="39.75" hidden="false" customHeight="true" outlineLevel="0" collapsed="false">
      <c r="A2" s="3" t="s">
        <v>80</v>
      </c>
      <c r="B2" s="3"/>
      <c r="C2" s="3"/>
      <c r="D2" s="3"/>
      <c r="E2" s="3"/>
      <c r="F2" s="3"/>
      <c r="G2" s="3"/>
      <c r="H2" s="3"/>
      <c r="I2" s="3"/>
      <c r="J2" s="3"/>
      <c r="K2" s="3"/>
      <c r="L2" s="3"/>
    </row>
    <row r="4" customFormat="false" ht="15" hidden="false" customHeight="false" outlineLevel="0" collapsed="false">
      <c r="A4" s="24" t="s">
        <v>81</v>
      </c>
    </row>
    <row r="5" customFormat="false" ht="15" hidden="false" customHeight="false" outlineLevel="0" collapsed="false">
      <c r="A5" s="26" t="s">
        <v>82</v>
      </c>
      <c r="C5" s="27" t="n">
        <v>0.28</v>
      </c>
      <c r="D5" s="28" t="s">
        <v>83</v>
      </c>
    </row>
    <row r="6" customFormat="false" ht="15" hidden="false" customHeight="false" outlineLevel="0" collapsed="false">
      <c r="A6" s="26" t="s">
        <v>84</v>
      </c>
      <c r="C6" s="27" t="n">
        <v>0.147</v>
      </c>
      <c r="D6" s="28" t="s">
        <v>85</v>
      </c>
    </row>
    <row r="9" customFormat="false" ht="15" hidden="false" customHeight="false" outlineLevel="0" collapsed="false">
      <c r="A9" s="26" t="s">
        <v>86</v>
      </c>
      <c r="C9" s="29" t="n">
        <f aca="false">'State Projections'!E42</f>
        <v>259851055.251317</v>
      </c>
    </row>
    <row r="10" customFormat="false" ht="15" hidden="false" customHeight="false" outlineLevel="0" collapsed="false">
      <c r="A10" s="26" t="s">
        <v>87</v>
      </c>
      <c r="C10" s="29" t="n">
        <f aca="false">'State Projections'!F42</f>
        <v>307322613.508011</v>
      </c>
    </row>
    <row r="11" customFormat="false" ht="15" hidden="false" customHeight="false" outlineLevel="0" collapsed="false">
      <c r="A11" s="26" t="s">
        <v>88</v>
      </c>
      <c r="C11" s="29" t="n">
        <f aca="false">C9*C5</f>
        <v>72758295.4703687</v>
      </c>
    </row>
    <row r="12" customFormat="false" ht="15" hidden="false" customHeight="false" outlineLevel="0" collapsed="false">
      <c r="A12" s="26" t="s">
        <v>89</v>
      </c>
      <c r="C12" s="29" t="n">
        <f aca="false">C10*C5</f>
        <v>86050331.7822431</v>
      </c>
    </row>
    <row r="13" customFormat="false" ht="15" hidden="false" customHeight="false" outlineLevel="0" collapsed="false">
      <c r="A13" s="26" t="s">
        <v>90</v>
      </c>
      <c r="C13" s="29" t="n">
        <f aca="false">C9*C6</f>
        <v>38198105.1219436</v>
      </c>
    </row>
    <row r="14" customFormat="false" ht="15" hidden="false" customHeight="false" outlineLevel="0" collapsed="false">
      <c r="A14" s="26" t="s">
        <v>91</v>
      </c>
      <c r="C14" s="29" t="n">
        <f aca="false">C10*C6</f>
        <v>45176424.1856776</v>
      </c>
    </row>
    <row r="16" customFormat="false" ht="45.75" hidden="false" customHeight="true" outlineLevel="0" collapsed="false">
      <c r="A16" s="4" t="s">
        <v>2</v>
      </c>
      <c r="B16" s="4" t="s">
        <v>92</v>
      </c>
      <c r="C16" s="4" t="s">
        <v>93</v>
      </c>
      <c r="D16" s="4" t="s">
        <v>94</v>
      </c>
      <c r="E16" s="4" t="s">
        <v>95</v>
      </c>
      <c r="F16" s="4" t="s">
        <v>96</v>
      </c>
      <c r="G16" s="4" t="s">
        <v>97</v>
      </c>
      <c r="H16" s="4" t="s">
        <v>98</v>
      </c>
      <c r="I16" s="4" t="s">
        <v>99</v>
      </c>
      <c r="J16" s="4" t="s">
        <v>100</v>
      </c>
      <c r="K16" s="4" t="s">
        <v>101</v>
      </c>
      <c r="L16" s="4" t="s">
        <v>102</v>
      </c>
      <c r="M16" s="4" t="s">
        <v>103</v>
      </c>
    </row>
    <row r="17" customFormat="false" ht="15" hidden="false" customHeight="false" outlineLevel="0" collapsed="false">
      <c r="A17" s="30" t="s">
        <v>12</v>
      </c>
      <c r="B17" s="31" t="n">
        <v>0.018</v>
      </c>
      <c r="C17" s="31" t="n">
        <v>0.016</v>
      </c>
      <c r="D17" s="31" t="n">
        <v>0.192</v>
      </c>
      <c r="E17" s="32" t="n">
        <f aca="false">1-D17</f>
        <v>0.808</v>
      </c>
      <c r="F17" s="33" t="n">
        <f aca="false">B17*$C$11</f>
        <v>1309649.31846664</v>
      </c>
      <c r="G17" s="33" t="n">
        <f aca="false">B17*$C$12</f>
        <v>1548905.97208038</v>
      </c>
      <c r="H17" s="33" t="n">
        <f aca="false">C17*$C$13</f>
        <v>611169.681951097</v>
      </c>
      <c r="I17" s="33" t="n">
        <f aca="false">C17*$C$14</f>
        <v>722822.786970842</v>
      </c>
      <c r="J17" s="33" t="n">
        <f aca="false">F17*$E17</f>
        <v>1058196.64932104</v>
      </c>
      <c r="K17" s="33" t="n">
        <f aca="false">G17*$E17</f>
        <v>1251516.02544094</v>
      </c>
      <c r="L17" s="33" t="n">
        <f aca="false">H17*$E17</f>
        <v>493825.103016486</v>
      </c>
      <c r="M17" s="33" t="n">
        <f aca="false">I17*$E17</f>
        <v>584040.81187244</v>
      </c>
    </row>
    <row r="18" customFormat="false" ht="15" hidden="false" customHeight="false" outlineLevel="0" collapsed="false">
      <c r="A18" s="30" t="s">
        <v>13</v>
      </c>
      <c r="B18" s="31" t="n">
        <v>0.023</v>
      </c>
      <c r="C18" s="31" t="n">
        <v>0.023</v>
      </c>
      <c r="D18" s="31" t="n">
        <v>0.225</v>
      </c>
      <c r="E18" s="32" t="n">
        <f aca="false">1-D18</f>
        <v>0.775</v>
      </c>
      <c r="F18" s="33" t="n">
        <f aca="false">B18*$C$11</f>
        <v>1673440.79581848</v>
      </c>
      <c r="G18" s="33" t="n">
        <f aca="false">B18*$C$12</f>
        <v>1979157.63099159</v>
      </c>
      <c r="H18" s="33" t="n">
        <f aca="false">C18*$C$13</f>
        <v>878556.417804702</v>
      </c>
      <c r="I18" s="33" t="n">
        <f aca="false">C18*$C$14</f>
        <v>1039057.75627059</v>
      </c>
      <c r="J18" s="33" t="n">
        <f aca="false">F18*$E18</f>
        <v>1296916.61675932</v>
      </c>
      <c r="K18" s="33" t="n">
        <f aca="false">G18*$E18</f>
        <v>1533847.16401848</v>
      </c>
      <c r="L18" s="33" t="n">
        <f aca="false">H18*$E18</f>
        <v>680881.223798644</v>
      </c>
      <c r="M18" s="33" t="n">
        <f aca="false">I18*$E18</f>
        <v>805269.761109704</v>
      </c>
    </row>
    <row r="19" customFormat="false" ht="15" hidden="false" customHeight="false" outlineLevel="0" collapsed="false">
      <c r="A19" s="30" t="s">
        <v>14</v>
      </c>
      <c r="B19" s="31" t="n">
        <v>0.023</v>
      </c>
      <c r="C19" s="31" t="n">
        <v>0.022</v>
      </c>
      <c r="D19" s="31" t="n">
        <v>0.072</v>
      </c>
      <c r="E19" s="32" t="n">
        <f aca="false">1-D19</f>
        <v>0.928</v>
      </c>
      <c r="F19" s="33" t="n">
        <f aca="false">B19*$C$11</f>
        <v>1673440.79581848</v>
      </c>
      <c r="G19" s="33" t="n">
        <f aca="false">B19*$C$12</f>
        <v>1979157.63099159</v>
      </c>
      <c r="H19" s="33" t="n">
        <f aca="false">C19*$C$13</f>
        <v>840358.312682758</v>
      </c>
      <c r="I19" s="33" t="n">
        <f aca="false">C19*$C$14</f>
        <v>993881.332084908</v>
      </c>
      <c r="J19" s="33" t="n">
        <f aca="false">F19*$E19</f>
        <v>1552953.05851955</v>
      </c>
      <c r="K19" s="33" t="n">
        <f aca="false">G19*$E19</f>
        <v>1836658.2815602</v>
      </c>
      <c r="L19" s="33" t="n">
        <f aca="false">H19*$E19</f>
        <v>779852.5141696</v>
      </c>
      <c r="M19" s="33" t="n">
        <f aca="false">I19*$E19</f>
        <v>922321.876174794</v>
      </c>
    </row>
    <row r="20" customFormat="false" ht="15" hidden="false" customHeight="false" outlineLevel="0" collapsed="false">
      <c r="A20" s="30" t="s">
        <v>15</v>
      </c>
      <c r="B20" s="31" t="n">
        <v>0.032</v>
      </c>
      <c r="C20" s="31" t="n">
        <v>0.022</v>
      </c>
      <c r="D20" s="31" t="n">
        <v>0.853</v>
      </c>
      <c r="E20" s="32" t="n">
        <f aca="false">1-D20</f>
        <v>0.147</v>
      </c>
      <c r="F20" s="33" t="n">
        <f aca="false">B20*$C$11</f>
        <v>2328265.4550518</v>
      </c>
      <c r="G20" s="33" t="n">
        <f aca="false">B20*$C$12</f>
        <v>2753610.61703178</v>
      </c>
      <c r="H20" s="33" t="n">
        <f aca="false">C20*$C$13</f>
        <v>840358.312682758</v>
      </c>
      <c r="I20" s="33" t="n">
        <f aca="false">C20*$C$14</f>
        <v>993881.332084908</v>
      </c>
      <c r="J20" s="33" t="n">
        <f aca="false">F20*$E20</f>
        <v>342255.021892615</v>
      </c>
      <c r="K20" s="33" t="n">
        <f aca="false">G20*$E20</f>
        <v>404780.760703672</v>
      </c>
      <c r="L20" s="33" t="n">
        <f aca="false">H20*$E20</f>
        <v>123532.671964366</v>
      </c>
      <c r="M20" s="33" t="n">
        <f aca="false">I20*$E20</f>
        <v>146100.555816481</v>
      </c>
    </row>
    <row r="21" customFormat="false" ht="15" hidden="false" customHeight="false" outlineLevel="0" collapsed="false">
      <c r="A21" s="30" t="s">
        <v>16</v>
      </c>
      <c r="B21" s="31" t="n">
        <v>0.035</v>
      </c>
      <c r="C21" s="31" t="n">
        <v>0.05</v>
      </c>
      <c r="D21" s="31" t="n">
        <v>0.137</v>
      </c>
      <c r="E21" s="32" t="n">
        <f aca="false">1-D21</f>
        <v>0.863</v>
      </c>
      <c r="F21" s="33" t="n">
        <f aca="false">B21*$C$11</f>
        <v>2546540.34146291</v>
      </c>
      <c r="G21" s="33" t="n">
        <f aca="false">B21*$C$12</f>
        <v>3011761.61237851</v>
      </c>
      <c r="H21" s="33" t="n">
        <f aca="false">C21*$C$13</f>
        <v>1909905.25609718</v>
      </c>
      <c r="I21" s="33" t="n">
        <f aca="false">C21*$C$14</f>
        <v>2258821.20928388</v>
      </c>
      <c r="J21" s="33" t="n">
        <f aca="false">F21*$E21</f>
        <v>2197664.31468249</v>
      </c>
      <c r="K21" s="33" t="n">
        <f aca="false">G21*$E21</f>
        <v>2599150.27148265</v>
      </c>
      <c r="L21" s="33" t="n">
        <f aca="false">H21*$E21</f>
        <v>1648248.23601186</v>
      </c>
      <c r="M21" s="33" t="n">
        <f aca="false">I21*$E21</f>
        <v>1949362.70361199</v>
      </c>
    </row>
    <row r="22" customFormat="false" ht="15" hidden="false" customHeight="false" outlineLevel="0" collapsed="false">
      <c r="A22" s="30" t="s">
        <v>17</v>
      </c>
      <c r="B22" s="31" t="n">
        <v>0.012</v>
      </c>
      <c r="C22" s="31" t="n">
        <v>0.009</v>
      </c>
      <c r="D22" s="31" t="n">
        <v>0.309</v>
      </c>
      <c r="E22" s="32" t="n">
        <f aca="false">1-D22</f>
        <v>0.691</v>
      </c>
      <c r="F22" s="33" t="n">
        <f aca="false">B22*$C$11</f>
        <v>873099.545644425</v>
      </c>
      <c r="G22" s="33" t="n">
        <f aca="false">B22*$C$12</f>
        <v>1032603.98138692</v>
      </c>
      <c r="H22" s="33" t="n">
        <f aca="false">C22*$C$13</f>
        <v>343782.946097492</v>
      </c>
      <c r="I22" s="33" t="n">
        <f aca="false">C22*$C$14</f>
        <v>406587.817671099</v>
      </c>
      <c r="J22" s="33" t="n">
        <f aca="false">F22*$E22</f>
        <v>603311.786040298</v>
      </c>
      <c r="K22" s="33" t="n">
        <f aca="false">G22*$E22</f>
        <v>713529.35113836</v>
      </c>
      <c r="L22" s="33" t="n">
        <f aca="false">H22*$E22</f>
        <v>237554.015753367</v>
      </c>
      <c r="M22" s="33" t="n">
        <f aca="false">I22*$E22</f>
        <v>280952.182010729</v>
      </c>
    </row>
    <row r="23" customFormat="false" ht="15" hidden="false" customHeight="false" outlineLevel="0" collapsed="false">
      <c r="A23" s="30" t="s">
        <v>18</v>
      </c>
      <c r="B23" s="31" t="n">
        <v>0.03</v>
      </c>
      <c r="C23" s="31" t="n">
        <v>0.03</v>
      </c>
      <c r="D23" s="31" t="n">
        <v>0.158</v>
      </c>
      <c r="E23" s="32" t="n">
        <f aca="false">1-D23</f>
        <v>0.842</v>
      </c>
      <c r="F23" s="33" t="n">
        <f aca="false">B23*$C$11</f>
        <v>2182748.86411106</v>
      </c>
      <c r="G23" s="33" t="n">
        <f aca="false">B23*$C$12</f>
        <v>2581509.95346729</v>
      </c>
      <c r="H23" s="33" t="n">
        <f aca="false">C23*$C$13</f>
        <v>1145943.15365831</v>
      </c>
      <c r="I23" s="33" t="n">
        <f aca="false">C23*$C$14</f>
        <v>1355292.72557033</v>
      </c>
      <c r="J23" s="33" t="n">
        <f aca="false">F23*$E23</f>
        <v>1837874.54358151</v>
      </c>
      <c r="K23" s="33" t="n">
        <f aca="false">G23*$E23</f>
        <v>2173631.38081946</v>
      </c>
      <c r="L23" s="33" t="n">
        <f aca="false">H23*$E23</f>
        <v>964884.135380294</v>
      </c>
      <c r="M23" s="33" t="n">
        <f aca="false">I23*$E23</f>
        <v>1141156.47493022</v>
      </c>
    </row>
    <row r="24" customFormat="false" ht="15" hidden="false" customHeight="false" outlineLevel="0" collapsed="false">
      <c r="A24" s="34" t="s">
        <v>19</v>
      </c>
      <c r="B24" s="35" t="n">
        <v>0.026</v>
      </c>
      <c r="C24" s="35" t="n">
        <v>0.03</v>
      </c>
      <c r="D24" s="35" t="n">
        <v>0.548</v>
      </c>
      <c r="E24" s="36" t="n">
        <f aca="false">1-D24</f>
        <v>0.452</v>
      </c>
      <c r="F24" s="37" t="n">
        <f aca="false">B24*$C$11</f>
        <v>1891715.68222959</v>
      </c>
      <c r="G24" s="37" t="n">
        <f aca="false">B24*$C$12</f>
        <v>2237308.62633832</v>
      </c>
      <c r="H24" s="37" t="n">
        <f aca="false">C24*$C$13</f>
        <v>1145943.15365831</v>
      </c>
      <c r="I24" s="37" t="n">
        <f aca="false">C24*$C$14</f>
        <v>1355292.72557033</v>
      </c>
      <c r="J24" s="37" t="n">
        <f aca="false">F24*$E24</f>
        <v>855055.488367773</v>
      </c>
      <c r="K24" s="37" t="n">
        <f aca="false">G24*$E24</f>
        <v>1011263.49910492</v>
      </c>
      <c r="L24" s="37" t="n">
        <f aca="false">H24*$E24</f>
        <v>517966.305453555</v>
      </c>
      <c r="M24" s="37" t="n">
        <f aca="false">I24*$E24</f>
        <v>612592.311957789</v>
      </c>
    </row>
    <row r="25" customFormat="false" ht="15" hidden="false" customHeight="false" outlineLevel="0" collapsed="false">
      <c r="A25" s="30" t="s">
        <v>20</v>
      </c>
      <c r="B25" s="31" t="n">
        <v>0.021</v>
      </c>
      <c r="C25" s="31" t="n">
        <v>0.016</v>
      </c>
      <c r="D25" s="31" t="n">
        <v>0.186</v>
      </c>
      <c r="E25" s="32" t="n">
        <f aca="false">1-D25</f>
        <v>0.814</v>
      </c>
      <c r="F25" s="33" t="n">
        <f aca="false">B25*$C$11</f>
        <v>1527924.20487774</v>
      </c>
      <c r="G25" s="33" t="n">
        <f aca="false">B25*$C$12</f>
        <v>1807056.96742711</v>
      </c>
      <c r="H25" s="33" t="n">
        <f aca="false">C25*$C$13</f>
        <v>611169.681951097</v>
      </c>
      <c r="I25" s="33" t="n">
        <f aca="false">C25*$C$14</f>
        <v>722822.786970842</v>
      </c>
      <c r="J25" s="33" t="n">
        <f aca="false">F25*$E25</f>
        <v>1243730.30277048</v>
      </c>
      <c r="K25" s="33" t="n">
        <f aca="false">G25*$E25</f>
        <v>1470944.37148566</v>
      </c>
      <c r="L25" s="33" t="n">
        <f aca="false">H25*$E25</f>
        <v>497492.121108193</v>
      </c>
      <c r="M25" s="33" t="n">
        <f aca="false">I25*$E25</f>
        <v>588377.748594265</v>
      </c>
    </row>
    <row r="26" customFormat="false" ht="15" hidden="false" customHeight="false" outlineLevel="0" collapsed="false">
      <c r="A26" s="30" t="s">
        <v>21</v>
      </c>
      <c r="B26" s="31" t="n">
        <v>0.027</v>
      </c>
      <c r="C26" s="31" t="n">
        <v>0.02</v>
      </c>
      <c r="D26" s="31" t="n">
        <v>0.559</v>
      </c>
      <c r="E26" s="32" t="n">
        <f aca="false">1-D26</f>
        <v>0.441</v>
      </c>
      <c r="F26" s="33" t="n">
        <f aca="false">B26*$C$11</f>
        <v>1964473.97769996</v>
      </c>
      <c r="G26" s="33" t="n">
        <f aca="false">B26*$C$12</f>
        <v>2323358.95812056</v>
      </c>
      <c r="H26" s="33" t="n">
        <f aca="false">C26*$C$13</f>
        <v>763962.102438871</v>
      </c>
      <c r="I26" s="33" t="n">
        <f aca="false">C26*$C$14</f>
        <v>903528.483713552</v>
      </c>
      <c r="J26" s="33" t="n">
        <f aca="false">F26*$E26</f>
        <v>866333.02416568</v>
      </c>
      <c r="K26" s="33" t="n">
        <f aca="false">G26*$E26</f>
        <v>1024601.30053117</v>
      </c>
      <c r="L26" s="33" t="n">
        <f aca="false">H26*$E26</f>
        <v>336907.287175542</v>
      </c>
      <c r="M26" s="33" t="n">
        <f aca="false">I26*$E26</f>
        <v>398456.061317677</v>
      </c>
    </row>
    <row r="27" customFormat="false" ht="15" hidden="false" customHeight="false" outlineLevel="0" collapsed="false">
      <c r="A27" s="30" t="s">
        <v>22</v>
      </c>
      <c r="B27" s="31" t="n">
        <v>0.018</v>
      </c>
      <c r="C27" s="31" t="n">
        <v>0.016</v>
      </c>
      <c r="D27" s="31" t="n">
        <v>0.842</v>
      </c>
      <c r="E27" s="32" t="n">
        <f aca="false">1-D27</f>
        <v>0.158</v>
      </c>
      <c r="F27" s="33" t="n">
        <f aca="false">B27*$C$11</f>
        <v>1309649.31846664</v>
      </c>
      <c r="G27" s="33" t="n">
        <f aca="false">B27*$C$12</f>
        <v>1548905.97208038</v>
      </c>
      <c r="H27" s="33" t="n">
        <f aca="false">C27*$C$13</f>
        <v>611169.681951097</v>
      </c>
      <c r="I27" s="33" t="n">
        <f aca="false">C27*$C$14</f>
        <v>722822.786970842</v>
      </c>
      <c r="J27" s="33" t="n">
        <f aca="false">F27*$E27</f>
        <v>206924.592317729</v>
      </c>
      <c r="K27" s="33" t="n">
        <f aca="false">G27*$E27</f>
        <v>244727.143588699</v>
      </c>
      <c r="L27" s="33" t="n">
        <f aca="false">H27*$E27</f>
        <v>96564.8097482733</v>
      </c>
      <c r="M27" s="33" t="n">
        <f aca="false">I27*$E27</f>
        <v>114206.000341393</v>
      </c>
    </row>
    <row r="28" customFormat="false" ht="15" hidden="false" customHeight="false" outlineLevel="0" collapsed="false">
      <c r="A28" s="30" t="s">
        <v>23</v>
      </c>
      <c r="B28" s="31" t="n">
        <v>0.024</v>
      </c>
      <c r="C28" s="31" t="n">
        <v>0.017</v>
      </c>
      <c r="D28" s="31" t="n">
        <v>0.613</v>
      </c>
      <c r="E28" s="32" t="n">
        <f aca="false">1-D28</f>
        <v>0.387</v>
      </c>
      <c r="F28" s="33" t="n">
        <f aca="false">B28*$C$11</f>
        <v>1746199.09128885</v>
      </c>
      <c r="G28" s="33" t="n">
        <f aca="false">B28*$C$12</f>
        <v>2065207.96277383</v>
      </c>
      <c r="H28" s="33" t="n">
        <f aca="false">C28*$C$13</f>
        <v>649367.787073041</v>
      </c>
      <c r="I28" s="33" t="n">
        <f aca="false">C28*$C$14</f>
        <v>767999.21115652</v>
      </c>
      <c r="J28" s="33" t="n">
        <f aca="false">F28*$E28</f>
        <v>675779.048328785</v>
      </c>
      <c r="K28" s="33" t="n">
        <f aca="false">G28*$E28</f>
        <v>799235.481593474</v>
      </c>
      <c r="L28" s="33" t="n">
        <f aca="false">H28*$E28</f>
        <v>251305.333597267</v>
      </c>
      <c r="M28" s="33" t="n">
        <f aca="false">I28*$E28</f>
        <v>297215.694717573</v>
      </c>
    </row>
    <row r="29" customFormat="false" ht="15" hidden="false" customHeight="false" outlineLevel="0" collapsed="false">
      <c r="A29" s="30" t="s">
        <v>24</v>
      </c>
      <c r="B29" s="31" t="n">
        <v>0.015</v>
      </c>
      <c r="C29" s="31" t="n">
        <v>0.013</v>
      </c>
      <c r="D29" s="31" t="n">
        <v>0.814</v>
      </c>
      <c r="E29" s="32" t="n">
        <f aca="false">1-D29</f>
        <v>0.186</v>
      </c>
      <c r="F29" s="33" t="n">
        <f aca="false">B29*$C$11</f>
        <v>1091374.43205553</v>
      </c>
      <c r="G29" s="33" t="n">
        <f aca="false">B29*$C$12</f>
        <v>1290754.97673365</v>
      </c>
      <c r="H29" s="33" t="n">
        <f aca="false">C29*$C$13</f>
        <v>496575.366585266</v>
      </c>
      <c r="I29" s="33" t="n">
        <f aca="false">C29*$C$14</f>
        <v>587293.514413809</v>
      </c>
      <c r="J29" s="33" t="n">
        <f aca="false">F29*$E29</f>
        <v>202995.644362329</v>
      </c>
      <c r="K29" s="33" t="n">
        <f aca="false">G29*$E29</f>
        <v>240080.425672458</v>
      </c>
      <c r="L29" s="33" t="n">
        <f aca="false">H29*$E29</f>
        <v>92363.0181848595</v>
      </c>
      <c r="M29" s="33" t="n">
        <f aca="false">I29*$E29</f>
        <v>109236.593680968</v>
      </c>
    </row>
    <row r="30" customFormat="false" ht="15" hidden="false" customHeight="false" outlineLevel="0" collapsed="false">
      <c r="A30" s="30" t="s">
        <v>25</v>
      </c>
      <c r="B30" s="31" t="n">
        <v>0.024</v>
      </c>
      <c r="C30" s="31" t="n">
        <v>0.018</v>
      </c>
      <c r="D30" s="31" t="n">
        <v>0.778</v>
      </c>
      <c r="E30" s="32" t="n">
        <f aca="false">1-D30</f>
        <v>0.222</v>
      </c>
      <c r="F30" s="33" t="n">
        <f aca="false">B30*$C$11</f>
        <v>1746199.09128885</v>
      </c>
      <c r="G30" s="33" t="n">
        <f aca="false">B30*$C$12</f>
        <v>2065207.96277383</v>
      </c>
      <c r="H30" s="33" t="n">
        <f aca="false">C30*$C$13</f>
        <v>687565.892194984</v>
      </c>
      <c r="I30" s="33" t="n">
        <f aca="false">C30*$C$14</f>
        <v>813175.635342197</v>
      </c>
      <c r="J30" s="33" t="n">
        <f aca="false">F30*$E30</f>
        <v>387656.198266124</v>
      </c>
      <c r="K30" s="33" t="n">
        <f aca="false">G30*$E30</f>
        <v>458476.167735791</v>
      </c>
      <c r="L30" s="33" t="n">
        <f aca="false">H30*$E30</f>
        <v>152639.628067286</v>
      </c>
      <c r="M30" s="33" t="n">
        <f aca="false">I30*$E30</f>
        <v>180524.991045968</v>
      </c>
    </row>
    <row r="31" customFormat="false" ht="15" hidden="false" customHeight="false" outlineLevel="0" collapsed="false">
      <c r="A31" s="30" t="s">
        <v>26</v>
      </c>
      <c r="B31" s="31" t="n">
        <v>0.017</v>
      </c>
      <c r="C31" s="31" t="n">
        <v>0.021</v>
      </c>
      <c r="D31" s="31" t="n">
        <v>0.234</v>
      </c>
      <c r="E31" s="32" t="n">
        <f aca="false">1-D31</f>
        <v>0.766</v>
      </c>
      <c r="F31" s="33" t="n">
        <f aca="false">B31*$C$11</f>
        <v>1236891.02299627</v>
      </c>
      <c r="G31" s="33" t="n">
        <f aca="false">B31*$C$12</f>
        <v>1462855.64029813</v>
      </c>
      <c r="H31" s="33" t="n">
        <f aca="false">C31*$C$13</f>
        <v>802160.207560815</v>
      </c>
      <c r="I31" s="33" t="n">
        <f aca="false">C31*$C$14</f>
        <v>948704.90789923</v>
      </c>
      <c r="J31" s="33" t="n">
        <f aca="false">F31*$E31</f>
        <v>947458.523615142</v>
      </c>
      <c r="K31" s="33" t="n">
        <f aca="false">G31*$E31</f>
        <v>1120547.42046837</v>
      </c>
      <c r="L31" s="33" t="n">
        <f aca="false">H31*$E31</f>
        <v>614454.718991584</v>
      </c>
      <c r="M31" s="33" t="n">
        <f aca="false">I31*$E31</f>
        <v>726707.95945081</v>
      </c>
    </row>
    <row r="32" customFormat="false" ht="15" hidden="false" customHeight="false" outlineLevel="0" collapsed="false">
      <c r="A32" s="30" t="s">
        <v>27</v>
      </c>
      <c r="B32" s="31" t="n">
        <v>0.024</v>
      </c>
      <c r="C32" s="31" t="n">
        <v>0.017</v>
      </c>
      <c r="D32" s="31" t="n">
        <v>0.647</v>
      </c>
      <c r="E32" s="32" t="n">
        <f aca="false">1-D32</f>
        <v>0.353</v>
      </c>
      <c r="F32" s="33" t="n">
        <f aca="false">B32*$C$11</f>
        <v>1746199.09128885</v>
      </c>
      <c r="G32" s="33" t="n">
        <f aca="false">B32*$C$12</f>
        <v>2065207.96277383</v>
      </c>
      <c r="H32" s="33" t="n">
        <f aca="false">C32*$C$13</f>
        <v>649367.787073041</v>
      </c>
      <c r="I32" s="33" t="n">
        <f aca="false">C32*$C$14</f>
        <v>767999.21115652</v>
      </c>
      <c r="J32" s="33" t="n">
        <f aca="false">F32*$E32</f>
        <v>616408.279224964</v>
      </c>
      <c r="K32" s="33" t="n">
        <f aca="false">G32*$E32</f>
        <v>729018.410859164</v>
      </c>
      <c r="L32" s="33" t="n">
        <f aca="false">H32*$E32</f>
        <v>229226.828836783</v>
      </c>
      <c r="M32" s="33" t="n">
        <f aca="false">I32*$E32</f>
        <v>271103.721538251</v>
      </c>
    </row>
    <row r="33" customFormat="false" ht="15" hidden="false" customHeight="false" outlineLevel="0" collapsed="false">
      <c r="A33" s="30" t="s">
        <v>28</v>
      </c>
      <c r="B33" s="31" t="n">
        <v>0.027</v>
      </c>
      <c r="C33" s="31" t="n">
        <v>0.042</v>
      </c>
      <c r="D33" s="31" t="n">
        <v>0.14</v>
      </c>
      <c r="E33" s="32" t="n">
        <f aca="false">1-D33</f>
        <v>0.86</v>
      </c>
      <c r="F33" s="33" t="n">
        <f aca="false">B33*$C$11</f>
        <v>1964473.97769996</v>
      </c>
      <c r="G33" s="33" t="n">
        <f aca="false">B33*$C$12</f>
        <v>2323358.95812056</v>
      </c>
      <c r="H33" s="33" t="n">
        <f aca="false">C33*$C$13</f>
        <v>1604320.41512163</v>
      </c>
      <c r="I33" s="33" t="n">
        <f aca="false">C33*$C$14</f>
        <v>1897409.81579846</v>
      </c>
      <c r="J33" s="33" t="n">
        <f aca="false">F33*$E33</f>
        <v>1689447.62082196</v>
      </c>
      <c r="K33" s="33" t="n">
        <f aca="false">G33*$E33</f>
        <v>1998088.70398368</v>
      </c>
      <c r="L33" s="33" t="n">
        <f aca="false">H33*$E33</f>
        <v>1379715.5570046</v>
      </c>
      <c r="M33" s="33" t="n">
        <f aca="false">I33*$E33</f>
        <v>1631772.44158668</v>
      </c>
    </row>
    <row r="34" customFormat="false" ht="15" hidden="false" customHeight="false" outlineLevel="0" collapsed="false">
      <c r="A34" s="30" t="s">
        <v>29</v>
      </c>
      <c r="B34" s="31" t="n">
        <v>0.04</v>
      </c>
      <c r="C34" s="31" t="n">
        <v>0.045</v>
      </c>
      <c r="D34" s="31" t="n">
        <v>0.425</v>
      </c>
      <c r="E34" s="32" t="n">
        <f aca="false">1-D34</f>
        <v>0.575</v>
      </c>
      <c r="F34" s="33" t="n">
        <f aca="false">B34*$C$11</f>
        <v>2910331.81881475</v>
      </c>
      <c r="G34" s="33" t="n">
        <f aca="false">B34*$C$12</f>
        <v>3442013.27128972</v>
      </c>
      <c r="H34" s="33" t="n">
        <f aca="false">C34*$C$13</f>
        <v>1718914.73048746</v>
      </c>
      <c r="I34" s="33" t="n">
        <f aca="false">C34*$C$14</f>
        <v>2032939.08835549</v>
      </c>
      <c r="J34" s="33" t="n">
        <f aca="false">F34*$E34</f>
        <v>1673440.79581848</v>
      </c>
      <c r="K34" s="33" t="n">
        <f aca="false">G34*$E34</f>
        <v>1979157.63099159</v>
      </c>
      <c r="L34" s="33" t="n">
        <f aca="false">H34*$E34</f>
        <v>988375.97003029</v>
      </c>
      <c r="M34" s="33" t="n">
        <f aca="false">I34*$E34</f>
        <v>1168939.97580441</v>
      </c>
    </row>
    <row r="35" customFormat="false" ht="15" hidden="false" customHeight="false" outlineLevel="0" collapsed="false">
      <c r="A35" s="30" t="s">
        <v>30</v>
      </c>
      <c r="B35" s="31" t="n">
        <v>0.067</v>
      </c>
      <c r="C35" s="31" t="n">
        <v>0.079</v>
      </c>
      <c r="D35" s="31" t="n">
        <v>0.438</v>
      </c>
      <c r="E35" s="32" t="n">
        <f aca="false">1-D35</f>
        <v>0.562</v>
      </c>
      <c r="F35" s="33" t="n">
        <f aca="false">B35*$C$11</f>
        <v>4874805.7965147</v>
      </c>
      <c r="G35" s="33" t="n">
        <f aca="false">B35*$C$12</f>
        <v>5765372.22941029</v>
      </c>
      <c r="H35" s="33" t="n">
        <f aca="false">C35*$C$13</f>
        <v>3017650.30463354</v>
      </c>
      <c r="I35" s="33" t="n">
        <f aca="false">C35*$C$14</f>
        <v>3568937.51066853</v>
      </c>
      <c r="J35" s="33" t="n">
        <f aca="false">F35*$E35</f>
        <v>2739640.85764126</v>
      </c>
      <c r="K35" s="33" t="n">
        <f aca="false">G35*$E35</f>
        <v>3240139.19292858</v>
      </c>
      <c r="L35" s="33" t="n">
        <f aca="false">H35*$E35</f>
        <v>1695919.47120405</v>
      </c>
      <c r="M35" s="33" t="n">
        <f aca="false">I35*$E35</f>
        <v>2005742.88099572</v>
      </c>
    </row>
    <row r="36" customFormat="false" ht="15" hidden="false" customHeight="false" outlineLevel="0" collapsed="false">
      <c r="A36" s="30" t="s">
        <v>31</v>
      </c>
      <c r="B36" s="31" t="n">
        <v>0.041</v>
      </c>
      <c r="C36" s="31" t="n">
        <v>0.061</v>
      </c>
      <c r="D36" s="31" t="n">
        <v>0.225</v>
      </c>
      <c r="E36" s="32" t="n">
        <f aca="false">1-D36</f>
        <v>0.775</v>
      </c>
      <c r="F36" s="33" t="n">
        <f aca="false">B36*$C$11</f>
        <v>2983090.11428512</v>
      </c>
      <c r="G36" s="33" t="n">
        <f aca="false">B36*$C$12</f>
        <v>3528063.60307197</v>
      </c>
      <c r="H36" s="33" t="n">
        <f aca="false">C36*$C$13</f>
        <v>2330084.41243856</v>
      </c>
      <c r="I36" s="33" t="n">
        <f aca="false">C36*$C$14</f>
        <v>2755761.87532633</v>
      </c>
      <c r="J36" s="33" t="n">
        <f aca="false">F36*$E36</f>
        <v>2311894.83857097</v>
      </c>
      <c r="K36" s="33" t="n">
        <f aca="false">G36*$E36</f>
        <v>2734249.29238077</v>
      </c>
      <c r="L36" s="33" t="n">
        <f aca="false">H36*$E36</f>
        <v>1805815.41963988</v>
      </c>
      <c r="M36" s="33" t="n">
        <f aca="false">I36*$E36</f>
        <v>2135715.45337791</v>
      </c>
    </row>
    <row r="37" customFormat="false" ht="15" hidden="false" customHeight="false" outlineLevel="0" collapsed="false">
      <c r="A37" s="30" t="s">
        <v>32</v>
      </c>
      <c r="B37" s="31" t="n">
        <v>0.023</v>
      </c>
      <c r="C37" s="31" t="n">
        <v>0.033</v>
      </c>
      <c r="D37" s="31" t="n">
        <v>0.165</v>
      </c>
      <c r="E37" s="32" t="n">
        <f aca="false">1-D37</f>
        <v>0.835</v>
      </c>
      <c r="F37" s="33" t="n">
        <f aca="false">B37*$C$11</f>
        <v>1673440.79581848</v>
      </c>
      <c r="G37" s="33" t="n">
        <f aca="false">B37*$C$12</f>
        <v>1979157.63099159</v>
      </c>
      <c r="H37" s="33" t="n">
        <f aca="false">C37*$C$13</f>
        <v>1260537.46902414</v>
      </c>
      <c r="I37" s="33" t="n">
        <f aca="false">C37*$C$14</f>
        <v>1490821.99812736</v>
      </c>
      <c r="J37" s="33" t="n">
        <f aca="false">F37*$E37</f>
        <v>1397323.06450843</v>
      </c>
      <c r="K37" s="33" t="n">
        <f aca="false">G37*$E37</f>
        <v>1652596.62187798</v>
      </c>
      <c r="L37" s="33" t="n">
        <f aca="false">H37*$E37</f>
        <v>1052548.78663515</v>
      </c>
      <c r="M37" s="33" t="n">
        <f aca="false">I37*$E37</f>
        <v>1244836.36843635</v>
      </c>
    </row>
    <row r="38" customFormat="false" ht="15" hidden="false" customHeight="false" outlineLevel="0" collapsed="false">
      <c r="A38" s="30" t="s">
        <v>33</v>
      </c>
      <c r="B38" s="31" t="n">
        <v>0.022</v>
      </c>
      <c r="C38" s="31" t="n">
        <v>0.018</v>
      </c>
      <c r="D38" s="31" t="n">
        <v>0.356</v>
      </c>
      <c r="E38" s="32" t="n">
        <f aca="false">1-D38</f>
        <v>0.644</v>
      </c>
      <c r="F38" s="33" t="n">
        <f aca="false">B38*$C$11</f>
        <v>1600682.50034811</v>
      </c>
      <c r="G38" s="33" t="n">
        <f aca="false">B38*$C$12</f>
        <v>1893107.29920935</v>
      </c>
      <c r="H38" s="33" t="n">
        <f aca="false">C38*$C$13</f>
        <v>687565.892194984</v>
      </c>
      <c r="I38" s="33" t="n">
        <f aca="false">C38*$C$14</f>
        <v>813175.635342197</v>
      </c>
      <c r="J38" s="33" t="n">
        <f aca="false">F38*$E38</f>
        <v>1030839.53022418</v>
      </c>
      <c r="K38" s="33" t="n">
        <f aca="false">G38*$E38</f>
        <v>1219161.10069082</v>
      </c>
      <c r="L38" s="33" t="n">
        <f aca="false">H38*$E38</f>
        <v>442792.43457357</v>
      </c>
      <c r="M38" s="33" t="n">
        <f aca="false">I38*$E38</f>
        <v>523685.109160375</v>
      </c>
    </row>
    <row r="39" customFormat="false" ht="15" hidden="false" customHeight="false" outlineLevel="0" collapsed="false">
      <c r="A39" s="30" t="s">
        <v>34</v>
      </c>
      <c r="B39" s="31" t="n">
        <v>0.016</v>
      </c>
      <c r="C39" s="31" t="n">
        <v>0.016</v>
      </c>
      <c r="D39" s="31" t="n">
        <v>0.762</v>
      </c>
      <c r="E39" s="32" t="n">
        <f aca="false">1-D39</f>
        <v>0.238</v>
      </c>
      <c r="F39" s="33" t="n">
        <f aca="false">B39*$C$11</f>
        <v>1164132.7275259</v>
      </c>
      <c r="G39" s="33" t="n">
        <f aca="false">B39*$C$12</f>
        <v>1376805.30851589</v>
      </c>
      <c r="H39" s="33" t="n">
        <f aca="false">C39*$C$13</f>
        <v>611169.681951097</v>
      </c>
      <c r="I39" s="33" t="n">
        <f aca="false">C39*$C$14</f>
        <v>722822.786970842</v>
      </c>
      <c r="J39" s="33" t="n">
        <f aca="false">F39*$E39</f>
        <v>277063.589151164</v>
      </c>
      <c r="K39" s="33" t="n">
        <f aca="false">G39*$E39</f>
        <v>327679.663426782</v>
      </c>
      <c r="L39" s="33" t="n">
        <f aca="false">H39*$E39</f>
        <v>145458.384304361</v>
      </c>
      <c r="M39" s="33" t="n">
        <f aca="false">I39*$E39</f>
        <v>172031.82329906</v>
      </c>
    </row>
    <row r="40" customFormat="false" ht="15" hidden="false" customHeight="false" outlineLevel="0" collapsed="false">
      <c r="A40" s="30" t="s">
        <v>35</v>
      </c>
      <c r="B40" s="31" t="n">
        <v>0.073</v>
      </c>
      <c r="C40" s="31" t="n">
        <v>0.057</v>
      </c>
      <c r="D40" s="31" t="n">
        <v>0.972</v>
      </c>
      <c r="E40" s="32" t="n">
        <f aca="false">1-D40</f>
        <v>0.028</v>
      </c>
      <c r="F40" s="33" t="n">
        <f aca="false">B40*$C$11</f>
        <v>5311355.56933692</v>
      </c>
      <c r="G40" s="33" t="n">
        <f aca="false">B40*$C$12</f>
        <v>6281674.22010375</v>
      </c>
      <c r="H40" s="33" t="n">
        <f aca="false">C40*$C$13</f>
        <v>2177291.99195078</v>
      </c>
      <c r="I40" s="33" t="n">
        <f aca="false">C40*$C$14</f>
        <v>2575056.17858362</v>
      </c>
      <c r="J40" s="33" t="n">
        <f aca="false">F40*$E40</f>
        <v>148717.955941434</v>
      </c>
      <c r="K40" s="33" t="n">
        <f aca="false">G40*$E40</f>
        <v>175886.878162905</v>
      </c>
      <c r="L40" s="33" t="n">
        <f aca="false">H40*$E40</f>
        <v>60964.175774622</v>
      </c>
      <c r="M40" s="33" t="n">
        <f aca="false">I40*$E40</f>
        <v>72101.5730003415</v>
      </c>
    </row>
    <row r="41" customFormat="false" ht="15" hidden="false" customHeight="false" outlineLevel="0" collapsed="false">
      <c r="A41" s="30" t="s">
        <v>36</v>
      </c>
      <c r="B41" s="31" t="n">
        <v>0.014</v>
      </c>
      <c r="C41" s="31" t="n">
        <v>0.014</v>
      </c>
      <c r="D41" s="31" t="n">
        <v>0.341</v>
      </c>
      <c r="E41" s="32" t="n">
        <f aca="false">1-D41</f>
        <v>0.659</v>
      </c>
      <c r="F41" s="33" t="n">
        <f aca="false">B41*$C$11</f>
        <v>1018616.13658516</v>
      </c>
      <c r="G41" s="33" t="n">
        <f aca="false">B41*$C$12</f>
        <v>1204704.6449514</v>
      </c>
      <c r="H41" s="33" t="n">
        <f aca="false">C41*$C$13</f>
        <v>534773.47170721</v>
      </c>
      <c r="I41" s="33" t="n">
        <f aca="false">C41*$C$14</f>
        <v>632469.938599487</v>
      </c>
      <c r="J41" s="33" t="n">
        <f aca="false">F41*$E41</f>
        <v>671268.034009622</v>
      </c>
      <c r="K41" s="33" t="n">
        <f aca="false">G41*$E41</f>
        <v>793900.361022975</v>
      </c>
      <c r="L41" s="33" t="n">
        <f aca="false">H41*$E41</f>
        <v>352415.717855051</v>
      </c>
      <c r="M41" s="33" t="n">
        <f aca="false">I41*$E41</f>
        <v>416797.689537062</v>
      </c>
    </row>
    <row r="42" customFormat="false" ht="15" hidden="false" customHeight="false" outlineLevel="0" collapsed="false">
      <c r="A42" s="30" t="s">
        <v>37</v>
      </c>
      <c r="B42" s="31" t="n">
        <v>0.031</v>
      </c>
      <c r="C42" s="31" t="n">
        <v>0.033</v>
      </c>
      <c r="D42" s="31" t="n">
        <v>0.242</v>
      </c>
      <c r="E42" s="32" t="n">
        <f aca="false">1-D42</f>
        <v>0.758</v>
      </c>
      <c r="F42" s="33" t="n">
        <f aca="false">B42*$C$11</f>
        <v>2255507.15958143</v>
      </c>
      <c r="G42" s="33" t="n">
        <f aca="false">B42*$C$12</f>
        <v>2667560.28524954</v>
      </c>
      <c r="H42" s="33" t="n">
        <f aca="false">C42*$C$13</f>
        <v>1260537.46902414</v>
      </c>
      <c r="I42" s="33" t="n">
        <f aca="false">C42*$C$14</f>
        <v>1490821.99812736</v>
      </c>
      <c r="J42" s="33" t="n">
        <f aca="false">F42*$E42</f>
        <v>1709674.42696272</v>
      </c>
      <c r="K42" s="33" t="n">
        <f aca="false">G42*$E42</f>
        <v>2022010.69621915</v>
      </c>
      <c r="L42" s="33" t="n">
        <f aca="false">H42*$E42</f>
        <v>955487.401520296</v>
      </c>
      <c r="M42" s="33" t="n">
        <f aca="false">I42*$E42</f>
        <v>1130043.07458054</v>
      </c>
    </row>
    <row r="43" customFormat="false" ht="15" hidden="false" customHeight="false" outlineLevel="0" collapsed="false">
      <c r="A43" s="30" t="s">
        <v>38</v>
      </c>
      <c r="B43" s="31" t="n">
        <v>0.031</v>
      </c>
      <c r="C43" s="31" t="n">
        <v>0.027</v>
      </c>
      <c r="D43" s="31" t="n">
        <v>0.487</v>
      </c>
      <c r="E43" s="32" t="n">
        <f aca="false">1-D43</f>
        <v>0.513</v>
      </c>
      <c r="F43" s="33" t="n">
        <f aca="false">B43*$C$11</f>
        <v>2255507.15958143</v>
      </c>
      <c r="G43" s="33" t="n">
        <f aca="false">B43*$C$12</f>
        <v>2667560.28524954</v>
      </c>
      <c r="H43" s="33" t="n">
        <f aca="false">C43*$C$13</f>
        <v>1031348.83829248</v>
      </c>
      <c r="I43" s="33" t="n">
        <f aca="false">C43*$C$14</f>
        <v>1219763.4530133</v>
      </c>
      <c r="J43" s="33" t="n">
        <f aca="false">F43*$E43</f>
        <v>1157075.17286527</v>
      </c>
      <c r="K43" s="33" t="n">
        <f aca="false">G43*$E43</f>
        <v>1368458.42633301</v>
      </c>
      <c r="L43" s="33" t="n">
        <f aca="false">H43*$E43</f>
        <v>529081.95404404</v>
      </c>
      <c r="M43" s="33" t="n">
        <f aca="false">I43*$E43</f>
        <v>625738.651395821</v>
      </c>
    </row>
    <row r="44" customFormat="false" ht="15" hidden="false" customHeight="false" outlineLevel="0" collapsed="false">
      <c r="A44" s="30" t="s">
        <v>39</v>
      </c>
      <c r="B44" s="31" t="n">
        <v>0.027</v>
      </c>
      <c r="C44" s="31" t="n">
        <v>0.018</v>
      </c>
      <c r="D44" s="31" t="n">
        <v>0.535</v>
      </c>
      <c r="E44" s="32" t="n">
        <f aca="false">1-D44</f>
        <v>0.465</v>
      </c>
      <c r="F44" s="33" t="n">
        <f aca="false">B44*$C$11</f>
        <v>1964473.97769996</v>
      </c>
      <c r="G44" s="33" t="n">
        <f aca="false">B44*$C$12</f>
        <v>2323358.95812056</v>
      </c>
      <c r="H44" s="33" t="n">
        <f aca="false">C44*$C$13</f>
        <v>687565.892194984</v>
      </c>
      <c r="I44" s="33" t="n">
        <f aca="false">C44*$C$14</f>
        <v>813175.635342197</v>
      </c>
      <c r="J44" s="33" t="n">
        <f aca="false">F44*$E44</f>
        <v>913480.399630479</v>
      </c>
      <c r="K44" s="33" t="n">
        <f aca="false">G44*$E44</f>
        <v>1080361.91552606</v>
      </c>
      <c r="L44" s="33" t="n">
        <f aca="false">H44*$E44</f>
        <v>319718.139870668</v>
      </c>
      <c r="M44" s="33" t="n">
        <f aca="false">I44*$E44</f>
        <v>378126.670434122</v>
      </c>
    </row>
    <row r="45" customFormat="false" ht="15" hidden="false" customHeight="false" outlineLevel="0" collapsed="false">
      <c r="A45" s="30" t="s">
        <v>40</v>
      </c>
      <c r="B45" s="31" t="n">
        <v>0.021</v>
      </c>
      <c r="C45" s="31" t="n">
        <v>0.017</v>
      </c>
      <c r="D45" s="31" t="n">
        <v>0.751</v>
      </c>
      <c r="E45" s="32" t="n">
        <f aca="false">1-D45</f>
        <v>0.249</v>
      </c>
      <c r="F45" s="33" t="n">
        <f aca="false">B45*$C$11</f>
        <v>1527924.20487774</v>
      </c>
      <c r="G45" s="33" t="n">
        <f aca="false">B45*$C$12</f>
        <v>1807056.96742711</v>
      </c>
      <c r="H45" s="33" t="n">
        <f aca="false">C45*$C$13</f>
        <v>649367.787073041</v>
      </c>
      <c r="I45" s="33" t="n">
        <f aca="false">C45*$C$14</f>
        <v>767999.21115652</v>
      </c>
      <c r="J45" s="33" t="n">
        <f aca="false">F45*$E45</f>
        <v>380453.127014558</v>
      </c>
      <c r="K45" s="33" t="n">
        <f aca="false">G45*$E45</f>
        <v>449957.184889349</v>
      </c>
      <c r="L45" s="33" t="n">
        <f aca="false">H45*$E45</f>
        <v>161692.578981187</v>
      </c>
      <c r="M45" s="33" t="n">
        <f aca="false">I45*$E45</f>
        <v>191231.803577973</v>
      </c>
    </row>
    <row r="46" customFormat="false" ht="15" hidden="false" customHeight="false" outlineLevel="0" collapsed="false">
      <c r="A46" s="30" t="s">
        <v>41</v>
      </c>
      <c r="B46" s="31" t="n">
        <v>0.037</v>
      </c>
      <c r="C46" s="31" t="n">
        <v>0.031</v>
      </c>
      <c r="D46" s="31" t="n">
        <v>0.805</v>
      </c>
      <c r="E46" s="32" t="n">
        <f aca="false">1-D46</f>
        <v>0.195</v>
      </c>
      <c r="F46" s="33" t="n">
        <f aca="false">B46*$C$11</f>
        <v>2692056.93240364</v>
      </c>
      <c r="G46" s="33" t="n">
        <f aca="false">B46*$C$12</f>
        <v>3183862.275943</v>
      </c>
      <c r="H46" s="33" t="n">
        <f aca="false">C46*$C$13</f>
        <v>1184141.25878025</v>
      </c>
      <c r="I46" s="33" t="n">
        <f aca="false">C46*$C$14</f>
        <v>1400469.14975601</v>
      </c>
      <c r="J46" s="33" t="n">
        <f aca="false">F46*$E46</f>
        <v>524951.10181871</v>
      </c>
      <c r="K46" s="33" t="n">
        <f aca="false">G46*$E46</f>
        <v>620853.143808884</v>
      </c>
      <c r="L46" s="33" t="n">
        <f aca="false">H46*$E46</f>
        <v>230907.545462149</v>
      </c>
      <c r="M46" s="33" t="n">
        <f aca="false">I46*$E46</f>
        <v>273091.484202421</v>
      </c>
    </row>
    <row r="47" customFormat="false" ht="15" hidden="false" customHeight="false" outlineLevel="0" collapsed="false">
      <c r="A47" s="30" t="s">
        <v>42</v>
      </c>
      <c r="B47" s="31" t="n">
        <v>0.022</v>
      </c>
      <c r="C47" s="31" t="n">
        <v>0.022</v>
      </c>
      <c r="D47" s="31" t="n">
        <v>0.276</v>
      </c>
      <c r="E47" s="32" t="n">
        <f aca="false">1-D47</f>
        <v>0.724</v>
      </c>
      <c r="F47" s="33" t="n">
        <f aca="false">B47*$C$11</f>
        <v>1600682.50034811</v>
      </c>
      <c r="G47" s="33" t="n">
        <f aca="false">B47*$C$12</f>
        <v>1893107.29920935</v>
      </c>
      <c r="H47" s="33" t="n">
        <f aca="false">C47*$C$13</f>
        <v>840358.312682758</v>
      </c>
      <c r="I47" s="33" t="n">
        <f aca="false">C47*$C$14</f>
        <v>993881.332084908</v>
      </c>
      <c r="J47" s="33" t="n">
        <f aca="false">F47*$E47</f>
        <v>1158894.13025203</v>
      </c>
      <c r="K47" s="33" t="n">
        <f aca="false">G47*$E47</f>
        <v>1370609.68462757</v>
      </c>
      <c r="L47" s="33" t="n">
        <f aca="false">H47*$E47</f>
        <v>608419.418382317</v>
      </c>
      <c r="M47" s="33" t="n">
        <f aca="false">I47*$E47</f>
        <v>719570.084429473</v>
      </c>
    </row>
    <row r="48" customFormat="false" ht="15" hidden="false" customHeight="false" outlineLevel="0" collapsed="false">
      <c r="A48" s="30" t="s">
        <v>43</v>
      </c>
      <c r="B48" s="31" t="n">
        <v>0.039</v>
      </c>
      <c r="C48" s="31" t="n">
        <v>0.029</v>
      </c>
      <c r="D48" s="31" t="n">
        <v>0.527</v>
      </c>
      <c r="E48" s="32" t="n">
        <f aca="false">1-D48</f>
        <v>0.473</v>
      </c>
      <c r="F48" s="33" t="n">
        <f aca="false">B48*$C$11</f>
        <v>2837573.52334438</v>
      </c>
      <c r="G48" s="33" t="n">
        <f aca="false">B48*$C$12</f>
        <v>3355962.93950748</v>
      </c>
      <c r="H48" s="33" t="n">
        <f aca="false">C48*$C$13</f>
        <v>1107745.04853636</v>
      </c>
      <c r="I48" s="33" t="n">
        <f aca="false">C48*$C$14</f>
        <v>1310116.30138465</v>
      </c>
      <c r="J48" s="33" t="n">
        <f aca="false">F48*$E48</f>
        <v>1342172.27654189</v>
      </c>
      <c r="K48" s="33" t="n">
        <f aca="false">G48*$E48</f>
        <v>1587370.47038704</v>
      </c>
      <c r="L48" s="33" t="n">
        <f aca="false">H48*$E48</f>
        <v>523963.4079577</v>
      </c>
      <c r="M48" s="33" t="n">
        <f aca="false">I48*$E48</f>
        <v>619685.01055494</v>
      </c>
    </row>
    <row r="49" customFormat="false" ht="15" hidden="false" customHeight="false" outlineLevel="0" collapsed="false">
      <c r="A49" s="30" t="s">
        <v>44</v>
      </c>
      <c r="B49" s="31" t="n">
        <v>0.028</v>
      </c>
      <c r="C49" s="31" t="n">
        <v>0.032</v>
      </c>
      <c r="D49" s="31" t="n">
        <v>0.195</v>
      </c>
      <c r="E49" s="32" t="n">
        <f aca="false">1-D49</f>
        <v>0.805</v>
      </c>
      <c r="F49" s="33" t="n">
        <f aca="false">B49*$C$11</f>
        <v>2037232.27317032</v>
      </c>
      <c r="G49" s="33" t="n">
        <f aca="false">B49*$C$12</f>
        <v>2409409.28990281</v>
      </c>
      <c r="H49" s="33" t="n">
        <f aca="false">C49*$C$13</f>
        <v>1222339.36390219</v>
      </c>
      <c r="I49" s="33" t="n">
        <f aca="false">C49*$C$14</f>
        <v>1445645.57394168</v>
      </c>
      <c r="J49" s="33" t="n">
        <f aca="false">F49*$E49</f>
        <v>1639971.97990211</v>
      </c>
      <c r="K49" s="33" t="n">
        <f aca="false">G49*$E49</f>
        <v>1939574.47837176</v>
      </c>
      <c r="L49" s="33" t="n">
        <f aca="false">H49*$E49</f>
        <v>983983.187941266</v>
      </c>
      <c r="M49" s="33" t="n">
        <f aca="false">I49*$E49</f>
        <v>1163744.68702306</v>
      </c>
    </row>
    <row r="50" customFormat="false" ht="15" hidden="false" customHeight="false" outlineLevel="0" collapsed="false">
      <c r="A50" s="30" t="s">
        <v>45</v>
      </c>
      <c r="B50" s="31" t="n">
        <v>0.016</v>
      </c>
      <c r="C50" s="31" t="n">
        <v>0.02</v>
      </c>
      <c r="D50" s="31" t="n">
        <v>0.194</v>
      </c>
      <c r="E50" s="32" t="n">
        <f aca="false">1-D50</f>
        <v>0.806</v>
      </c>
      <c r="F50" s="33" t="n">
        <f aca="false">B50*$C$11</f>
        <v>1164132.7275259</v>
      </c>
      <c r="G50" s="33" t="n">
        <f aca="false">B50*$C$12</f>
        <v>1376805.30851589</v>
      </c>
      <c r="H50" s="33" t="n">
        <f aca="false">C50*$C$13</f>
        <v>763962.102438871</v>
      </c>
      <c r="I50" s="33" t="n">
        <f aca="false">C50*$C$14</f>
        <v>903528.483713552</v>
      </c>
      <c r="J50" s="33" t="n">
        <f aca="false">F50*$E50</f>
        <v>938290.978385875</v>
      </c>
      <c r="K50" s="33" t="n">
        <f aca="false">G50*$E50</f>
        <v>1109705.07866381</v>
      </c>
      <c r="L50" s="33" t="n">
        <f aca="false">H50*$E50</f>
        <v>615753.45456573</v>
      </c>
      <c r="M50" s="33" t="n">
        <f aca="false">I50*$E50</f>
        <v>728243.957873123</v>
      </c>
    </row>
    <row r="51" customFormat="false" ht="15" hidden="false" customHeight="false" outlineLevel="0" collapsed="false">
      <c r="A51" s="30" t="s">
        <v>46</v>
      </c>
      <c r="B51" s="31" t="n">
        <v>0.015</v>
      </c>
      <c r="C51" s="31" t="n">
        <v>0.024</v>
      </c>
      <c r="D51" s="31" t="n">
        <v>0.213</v>
      </c>
      <c r="E51" s="32" t="n">
        <f aca="false">1-D51</f>
        <v>0.787</v>
      </c>
      <c r="F51" s="33" t="n">
        <f aca="false">B51*$C$11</f>
        <v>1091374.43205553</v>
      </c>
      <c r="G51" s="33" t="n">
        <f aca="false">B51*$C$12</f>
        <v>1290754.97673365</v>
      </c>
      <c r="H51" s="33" t="n">
        <f aca="false">C51*$C$13</f>
        <v>916754.522926646</v>
      </c>
      <c r="I51" s="33" t="n">
        <f aca="false">C51*$C$14</f>
        <v>1084234.18045626</v>
      </c>
      <c r="J51" s="33" t="n">
        <f aca="false">F51*$E51</f>
        <v>858911.678027703</v>
      </c>
      <c r="K51" s="33" t="n">
        <f aca="false">G51*$E51</f>
        <v>1015824.16668938</v>
      </c>
      <c r="L51" s="33" t="n">
        <f aca="false">H51*$E51</f>
        <v>721485.80954327</v>
      </c>
      <c r="M51" s="33" t="n">
        <f aca="false">I51*$E51</f>
        <v>853292.300019079</v>
      </c>
    </row>
    <row r="52" customFormat="false" ht="15" hidden="false" customHeight="false" outlineLevel="0" collapsed="false">
      <c r="A52" s="30" t="s">
        <v>47</v>
      </c>
      <c r="B52" s="31" t="n">
        <v>0.024</v>
      </c>
      <c r="C52" s="31" t="n">
        <v>0.03</v>
      </c>
      <c r="D52" s="31" t="n">
        <v>0.28</v>
      </c>
      <c r="E52" s="32" t="n">
        <f aca="false">1-D52</f>
        <v>0.72</v>
      </c>
      <c r="F52" s="33" t="n">
        <f aca="false">B52*$C$11</f>
        <v>1746199.09128885</v>
      </c>
      <c r="G52" s="33" t="n">
        <f aca="false">B52*$C$12</f>
        <v>2065207.96277383</v>
      </c>
      <c r="H52" s="33" t="n">
        <f aca="false">C52*$C$13</f>
        <v>1145943.15365831</v>
      </c>
      <c r="I52" s="33" t="n">
        <f aca="false">C52*$C$14</f>
        <v>1355292.72557033</v>
      </c>
      <c r="J52" s="33" t="n">
        <f aca="false">F52*$E52</f>
        <v>1257263.34572797</v>
      </c>
      <c r="K52" s="33" t="n">
        <f aca="false">G52*$E52</f>
        <v>1486949.73319716</v>
      </c>
      <c r="L52" s="33" t="n">
        <f aca="false">H52*$E52</f>
        <v>825079.070633981</v>
      </c>
      <c r="M52" s="33" t="n">
        <f aca="false">I52*$E52</f>
        <v>975810.762410637</v>
      </c>
    </row>
    <row r="53" customFormat="false" ht="15" hidden="false" customHeight="false" outlineLevel="0" collapsed="false">
      <c r="A53" s="30" t="s">
        <v>48</v>
      </c>
      <c r="B53" s="31" t="n">
        <v>0.016</v>
      </c>
      <c r="C53" s="31" t="n">
        <v>0.013</v>
      </c>
      <c r="D53" s="31" t="n">
        <v>0.647</v>
      </c>
      <c r="E53" s="32" t="n">
        <f aca="false">1-D53</f>
        <v>0.353</v>
      </c>
      <c r="F53" s="33" t="n">
        <f aca="false">B53*$C$11</f>
        <v>1164132.7275259</v>
      </c>
      <c r="G53" s="33" t="n">
        <f aca="false">B53*$C$12</f>
        <v>1376805.30851589</v>
      </c>
      <c r="H53" s="33" t="n">
        <f aca="false">C53*$C$13</f>
        <v>496575.366585266</v>
      </c>
      <c r="I53" s="33" t="n">
        <f aca="false">C53*$C$14</f>
        <v>587293.514413809</v>
      </c>
      <c r="J53" s="33" t="n">
        <f aca="false">F53*$E53</f>
        <v>410938.852816643</v>
      </c>
      <c r="K53" s="33" t="n">
        <f aca="false">G53*$E53</f>
        <v>486012.273906109</v>
      </c>
      <c r="L53" s="33" t="n">
        <f aca="false">H53*$E53</f>
        <v>175291.104404599</v>
      </c>
      <c r="M53" s="33" t="n">
        <f aca="false">I53*$E53</f>
        <v>207314.610588075</v>
      </c>
    </row>
    <row r="54" customFormat="false" ht="15" hidden="false" customHeight="false" outlineLevel="0" collapsed="false">
      <c r="A54" s="38" t="s">
        <v>49</v>
      </c>
      <c r="B54" s="39"/>
      <c r="C54" s="39"/>
      <c r="D54" s="39"/>
      <c r="E54" s="39"/>
      <c r="F54" s="40" t="n">
        <f aca="false">SUM(F17:F53)</f>
        <v>72685537.1748984</v>
      </c>
      <c r="G54" s="40" t="n">
        <f aca="false">SUM(G17:G53)</f>
        <v>85964281.4504609</v>
      </c>
      <c r="H54" s="40" t="n">
        <f aca="false">SUM(H17:H53)</f>
        <v>38236303.2270655</v>
      </c>
      <c r="I54" s="40" t="n">
        <f aca="false">SUM(I17:I53)</f>
        <v>45221600.6098633</v>
      </c>
      <c r="J54" s="40" t="n">
        <f aca="false">SUM(J17:J53)</f>
        <v>39123226.8488493</v>
      </c>
      <c r="K54" s="40" t="n">
        <f aca="false">SUM(K17:K53)</f>
        <v>46270554.1542889</v>
      </c>
      <c r="L54" s="40" t="n">
        <f aca="false">SUM(L17:L53)</f>
        <v>22292566.9415868</v>
      </c>
      <c r="M54" s="40" t="n">
        <f aca="false">SUM(M17:M53)</f>
        <v>26365141.8604582</v>
      </c>
    </row>
    <row r="56" customFormat="false" ht="39.75" hidden="false" customHeight="true" outlineLevel="0" collapsed="false">
      <c r="A56" s="18" t="s">
        <v>104</v>
      </c>
      <c r="B56" s="18"/>
      <c r="C56" s="18"/>
      <c r="D56" s="18"/>
      <c r="E56" s="18"/>
      <c r="F56" s="18"/>
      <c r="G56" s="18"/>
      <c r="H56" s="18"/>
      <c r="I56" s="18"/>
      <c r="J56" s="18"/>
      <c r="K56" s="18"/>
      <c r="L56" s="18"/>
      <c r="M56" s="18"/>
    </row>
    <row r="58" customFormat="false" ht="54.75" hidden="false" customHeight="true" outlineLevel="0" collapsed="false">
      <c r="A58" s="18" t="s">
        <v>105</v>
      </c>
      <c r="B58" s="18"/>
      <c r="C58" s="18"/>
      <c r="D58" s="18"/>
      <c r="E58" s="18"/>
      <c r="F58" s="18"/>
      <c r="G58" s="18"/>
      <c r="H58" s="18"/>
      <c r="I58" s="18"/>
      <c r="J58" s="18"/>
      <c r="K58" s="18"/>
      <c r="L58" s="18"/>
      <c r="M58" s="18"/>
    </row>
  </sheetData>
  <mergeCells count="4">
    <mergeCell ref="A1:L1"/>
    <mergeCell ref="A2:L2"/>
    <mergeCell ref="A56:M56"/>
    <mergeCell ref="A58:M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2026-08-26T22:37:13Z</dcterms:created>
  <dc:creator>openpyxl</dc:creator>
  <dc:description/>
  <dc:language>en-US</dc:language>
  <cp:lastModifiedBy/>
  <dcterms:modified xsi:type="dcterms:W3CDTF">2026-09-01T01:11:23Z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