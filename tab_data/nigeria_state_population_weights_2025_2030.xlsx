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e Projections" sheetId="1" state="visible" r:id="rId3"/>
    <sheet name="Alt Method (UN-scaled)" sheetId="2" state="visible" r:id="rId4"/>
    <sheet name="Methodology &amp; Cavea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<sst xmlns="http://schemas.openxmlformats.org/spreadsheetml/2006/main" count="115" uniqueCount="75">
  <si>
    <t xml:space="preserve">Nigeria State Population Estimates &amp; Weights — 2025 / 2030</t>
  </si>
  <si>
    <t xml:space="preserve">Base data: NBS/NPC official state population figures (2006 census, 2016 NBS projection). 2025/2030 columns = each state's own 2006–16 compound annual growth rate (CAGR), extrapolated forward. Read the 'Methodology &amp; Caveats' tab before using these as weights — the FCT row in particular is unreliable.</t>
  </si>
  <si>
    <t xml:space="preserve">State</t>
  </si>
  <si>
    <t xml:space="preserve">2006 Census
(persons)</t>
  </si>
  <si>
    <t xml:space="preserve">2016 NBS Est.
(persons)</t>
  </si>
  <si>
    <t xml:space="preserve">Implied CAGR
2006–16</t>
  </si>
  <si>
    <t xml:space="preserve">2025 Projected
Population</t>
  </si>
  <si>
    <t xml:space="preserve">2030 Projected
Population</t>
  </si>
  <si>
    <t xml:space="preserve">2025 Weight
(share of national total)</t>
  </si>
  <si>
    <t xml:space="preserve">2030 Weight
(share of national total)</t>
  </si>
  <si>
    <t xml:space="preserve">2025
Rank</t>
  </si>
  <si>
    <t xml:space="preserve">2030
Rank</t>
  </si>
  <si>
    <t xml:space="preserve">Abia</t>
  </si>
  <si>
    <t xml:space="preserve">Adamawa</t>
  </si>
  <si>
    <t xml:space="preserve">Akwa Ibom</t>
  </si>
  <si>
    <t xml:space="preserve">Anambra</t>
  </si>
  <si>
    <t xml:space="preserve">Bauchi</t>
  </si>
  <si>
    <t xml:space="preserve">Bayelsa</t>
  </si>
  <si>
    <t xml:space="preserve">Benue</t>
  </si>
  <si>
    <t xml:space="preserve">Borno</t>
  </si>
  <si>
    <t xml:space="preserve">Cross River</t>
  </si>
  <si>
    <t xml:space="preserve">Delta</t>
  </si>
  <si>
    <t xml:space="preserve">Ebonyi</t>
  </si>
  <si>
    <t xml:space="preserve">Edo</t>
  </si>
  <si>
    <t xml:space="preserve">Ekiti</t>
  </si>
  <si>
    <t xml:space="preserve">Enugu</t>
  </si>
  <si>
    <t xml:space="preserve">Gombe</t>
  </si>
  <si>
    <t xml:space="preserve">Imo</t>
  </si>
  <si>
    <t xml:space="preserve">Jigawa</t>
  </si>
  <si>
    <t xml:space="preserve">Kaduna</t>
  </si>
  <si>
    <t xml:space="preserve">Kano</t>
  </si>
  <si>
    <t xml:space="preserve">Katsina</t>
  </si>
  <si>
    <t xml:space="preserve">Kebbi</t>
  </si>
  <si>
    <t xml:space="preserve">Kogi</t>
  </si>
  <si>
    <t xml:space="preserve">Kwara</t>
  </si>
  <si>
    <t xml:space="preserve">Lagos</t>
  </si>
  <si>
    <t xml:space="preserve">Nasarawa</t>
  </si>
  <si>
    <t xml:space="preserve">Niger</t>
  </si>
  <si>
    <t xml:space="preserve">Ogun</t>
  </si>
  <si>
    <t xml:space="preserve">Ondo</t>
  </si>
  <si>
    <t xml:space="preserve">Osun</t>
  </si>
  <si>
    <t xml:space="preserve">Oyo</t>
  </si>
  <si>
    <t xml:space="preserve">Plateau</t>
  </si>
  <si>
    <t xml:space="preserve">Rivers</t>
  </si>
  <si>
    <t xml:space="preserve">Sokoto</t>
  </si>
  <si>
    <t xml:space="preserve">Taraba</t>
  </si>
  <si>
    <t xml:space="preserve">Yobe</t>
  </si>
  <si>
    <t xml:space="preserve">Zamfara</t>
  </si>
  <si>
    <t xml:space="preserve">FCT Abuja</t>
  </si>
  <si>
    <t xml:space="preserve">NIGERIA TOTAL</t>
  </si>
  <si>
    <t xml:space="preserve">Yellow-highlighted row (FCT Abuja) had extreme 2006–16 growth (~9.8%/yr, capital-city migration boom). Extrapolating that rate to 2030 likely overstates FCT's true weight (implies ~13M people, larger than Lagos-adjacent states). Consider capping it manually if FCT matters to your use case — see Methodology tab for a suggested fix.</t>
  </si>
  <si>
    <t xml:space="preserve">Alternative Weighting: State Shares Held Constant, Scaled to UN National Totals</t>
  </si>
  <si>
    <t xml:space="preserve">This tab answers: 'what if I don't trust NBS/NPC's higher growth assumptions, and just want each state's 2016 share of the national population applied to the more conservative UN World Population Prospects national totals for 2025 and 2030?' It keeps relative state weights closer to their most recently measured (2016) shares, rather than compounding 37 different growth rates for 9–14 years. Useful as a sensitivity check against Sheet 1.</t>
  </si>
  <si>
    <t xml:space="preserve">UN WPP national total, 2025 (persons):</t>
  </si>
  <si>
    <t xml:space="preserve">Source: UN WPP 2024 revision (medium variant), via populationpyramid.net</t>
  </si>
  <si>
    <t xml:space="preserve">UN WPP-consistent national total, 2030 (persons):</t>
  </si>
  <si>
    <t xml:space="preserve">Source: UN WPP-based national projection (2030), see chat citations</t>
  </si>
  <si>
    <t xml:space="preserve">2016 Weight
(share of national)</t>
  </si>
  <si>
    <t xml:space="preserve">2025 Population
(2016 weight × UN 2025 total)</t>
  </si>
  <si>
    <t xml:space="preserve">2030 Population
(2016 weight × UN 2030 total)</t>
  </si>
  <si>
    <t xml:space="preserve">Methodology &amp; Caveats</t>
  </si>
  <si>
    <t xml:space="preserve">Data source</t>
  </si>
  <si>
    <t xml:space="preserve">State population figures for 2006 and 2016 are official National Bureau of Statistics (NBS) / National Population Commission (NPC) figures, projected forward from the 2006 census (the last completed Nigerian census). Retrieved from nigerianstat.gov.ng.</t>
  </si>
  <si>
    <t xml:space="preserve">Sheet 1 method: state-specific CAGR</t>
  </si>
  <si>
    <t xml:space="preserve">For each state, CAGR = (2016 population / 2006 population)^(1/10) − 1. This CAGR is then compounded forward 9 years to 2025 and 14 years to 2030. This preserves each state's own real, government-measured differential growth rate (e.g. Kano/Oyo grow faster than Abia/Edo), which matters if you're using this as a relative weighting factor between states.</t>
  </si>
  <si>
    <t xml:space="preserve">Sheet 2 method: 2016 shares scaled to UN totals</t>
  </si>
  <si>
    <t xml:space="preserve">Holds each state's 2016 share of the national population constant, and multiplies by the UN World Population Prospects (WPP) 2024 revision's more conservative national totals for 2025 (~237.5M) and 2030 (~262.4M). This is a useful sensitivity check: if your weights are similar in both sheets, that's a good sign your relative weighting is stable regardless of which national growth assumption you trust.</t>
  </si>
  <si>
    <t xml:space="preserve">Why the two sheets disagree on national totals</t>
  </si>
  <si>
    <t xml:space="preserve">NBS/NPC's own compounded state trends imply a 2025 national total of roughly 259.9M and a 2030 total of roughly 307.3M — notably higher than the UN's ~237.5M (2025) and ~262.4M (2030). Nigeria has not completed a census since 2006, so there is no single authoritative current population figure; NBS/NPC, UN WPP, and individual state governments' own claims all diverge, sometimes by tens of millions. Absolute totals should be treated with real caution. RELATIVE weights between states are generally more trustworthy than either method's absolute totals, since both methods are internally consistent in how they treat states relative to one another.</t>
  </si>
  <si>
    <t xml:space="preserve">Known distortion: FCT Abuja</t>
  </si>
  <si>
    <t xml:space="preserve">FCT's 2006–16 CAGR (~9.8%/yr) reflects an extraordinary migration-driven boom as Nigeria's capital was built out — not a typical demographic growth pattern. Compounding that rate to 2030 implies ~13.1M residents, which is implausibly high (more than triple most independent current estimates of Abuja's population). If FCT matters materially to your weighting, consider either (a) using Sheet 2's value for FCT instead, or (b) manually capping FCT's growth rate at a more typical ~4–5%/yr in Sheet 1, cell D-row for FCT Abuja.</t>
  </si>
  <si>
    <t xml:space="preserve">Suggested use as weights</t>
  </si>
  <si>
    <t xml:space="preserve">For a weighting factor across states, the 2025/2030 Weight columns (G and H) on Sheet 1 are more robust than the raw population columns, since they normalize for whichever national total you believe. If your downstream use is sensitive to the exact FCT value, cross-check against Sheet 2 or override that one row.</t>
  </si>
  <si>
    <t xml:space="preserve">What this is NOT</t>
  </si>
  <si>
    <t xml:space="preserve">This is not an official NBS/NPC/UN-published 2025 or 2030 state-level dataset — no such dataset has been publicly released. It is a transparent extrapolation built from the last officially published state-level series, so you can see and adjust every assumption (all formulas are live, not hardcoded).</t>
  </si>
</sst>
</file>

<file path=xl/styles.xml><?xml version="1.0" encoding="utf-8"?>
<styleSheet xmlns="http://schemas.openxmlformats.org/spreadsheetml/2006/main">
  <numFmts count="4">
    <numFmt numFmtId="164" formatCode="General"/>
    <numFmt numFmtId="165" formatCode="#,##0"/>
    <numFmt numFmtId="166" formatCode="0.00%"/>
    <numFmt numFmtId="167"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i val="true"/>
      <sz val="9"/>
      <color rgb="FF666666"/>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5"/>
    <col collapsed="false" customWidth="true" hidden="false" outlineLevel="0" max="4" min="4" style="0" width="13"/>
    <col collapsed="false" customWidth="true" hidden="false" outlineLevel="0" max="6" min="5" style="0" width="16"/>
    <col collapsed="false" customWidth="true" hidden="false" outlineLevel="0" max="8" min="7" style="0" width="18"/>
    <col collapsed="false" customWidth="true" hidden="false" outlineLevel="0" max="10" min="9" style="0" width="8"/>
  </cols>
  <sheetData>
    <row r="1" customFormat="false" ht="17.35" hidden="false" customHeight="false" outlineLevel="0" collapsed="false">
      <c r="A1" s="1" t="s">
        <v>0</v>
      </c>
      <c r="B1" s="1"/>
      <c r="C1" s="1"/>
      <c r="D1" s="1"/>
      <c r="E1" s="1"/>
      <c r="F1" s="1"/>
      <c r="G1" s="1"/>
      <c r="H1" s="1"/>
      <c r="I1" s="1"/>
      <c r="J1" s="1"/>
    </row>
    <row r="2" customFormat="false" ht="27.75" hidden="false" customHeight="true" outlineLevel="0" collapsed="false">
      <c r="A2" s="2" t="s">
        <v>1</v>
      </c>
      <c r="B2" s="2"/>
      <c r="C2" s="2"/>
      <c r="D2" s="2"/>
      <c r="E2" s="2"/>
      <c r="F2" s="2"/>
      <c r="G2" s="2"/>
      <c r="H2" s="2"/>
      <c r="I2" s="2"/>
      <c r="J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5" t="n">
        <v>2845380</v>
      </c>
      <c r="C5" s="5" t="n">
        <v>3727347</v>
      </c>
      <c r="D5" s="6" t="n">
        <f aca="false">(C5/B5)^(1/10)-1</f>
        <v>0.0273678124428531</v>
      </c>
      <c r="E5" s="7" t="n">
        <f aca="false">C5*(1+D5)^9</f>
        <v>4752623.61389439</v>
      </c>
      <c r="F5" s="7" t="n">
        <f aca="false">C5*(1+D5)^14</f>
        <v>5439552.80452301</v>
      </c>
      <c r="G5" s="8" t="n">
        <f aca="false">E5/$E$42</f>
        <v>0.0182897991670569</v>
      </c>
      <c r="H5" s="8" t="n">
        <f aca="false">F5/$F$42</f>
        <v>0.0176998130480275</v>
      </c>
      <c r="I5" s="4" t="n">
        <f aca="false">RANK(E5,$E$5:$E$41)</f>
        <v>29</v>
      </c>
      <c r="J5" s="4" t="n">
        <f aca="false">RANK(F5,$F$5:$F$41)</f>
        <v>29</v>
      </c>
    </row>
    <row r="6" customFormat="false" ht="15" hidden="false" customHeight="false" outlineLevel="0" collapsed="false">
      <c r="A6" s="4" t="s">
        <v>13</v>
      </c>
      <c r="B6" s="5" t="n">
        <v>3178950</v>
      </c>
      <c r="C6" s="5" t="n">
        <v>4248436</v>
      </c>
      <c r="D6" s="6" t="n">
        <f aca="false">(C6/B6)^(1/10)-1</f>
        <v>0.0294245905241122</v>
      </c>
      <c r="E6" s="7" t="n">
        <f aca="false">C6*(1+D6)^9</f>
        <v>5515436.95950602</v>
      </c>
      <c r="F6" s="7" t="n">
        <f aca="false">C6*(1+D6)^14</f>
        <v>6376063.25014835</v>
      </c>
      <c r="G6" s="8" t="n">
        <f aca="false">E6/$E$42</f>
        <v>0.0212253783390324</v>
      </c>
      <c r="H6" s="8" t="n">
        <f aca="false">F6/$F$42</f>
        <v>0.0207471333702625</v>
      </c>
      <c r="I6" s="4" t="n">
        <f aca="false">RANK(E6,$E$5:$E$41)</f>
        <v>25</v>
      </c>
      <c r="J6" s="4" t="n">
        <f aca="false">RANK(F6,$F$5:$F$41)</f>
        <v>25</v>
      </c>
    </row>
    <row r="7" customFormat="false" ht="15" hidden="false" customHeight="false" outlineLevel="0" collapsed="false">
      <c r="A7" s="4" t="s">
        <v>14</v>
      </c>
      <c r="B7" s="5" t="n">
        <v>3902051</v>
      </c>
      <c r="C7" s="5" t="n">
        <v>5482177</v>
      </c>
      <c r="D7" s="6" t="n">
        <f aca="false">(C7/B7)^(1/10)-1</f>
        <v>0.0345846038840219</v>
      </c>
      <c r="E7" s="7" t="n">
        <f aca="false">C7*(1+D7)^9</f>
        <v>7444699.18317301</v>
      </c>
      <c r="F7" s="7" t="n">
        <f aca="false">C7*(1+D7)^14</f>
        <v>8824237.9371456</v>
      </c>
      <c r="G7" s="8" t="n">
        <f aca="false">E7/$E$42</f>
        <v>0.0286498708884319</v>
      </c>
      <c r="H7" s="8" t="n">
        <f aca="false">F7/$F$42</f>
        <v>0.0287132724677144</v>
      </c>
      <c r="I7" s="4" t="n">
        <f aca="false">RANK(E7,$E$5:$E$41)</f>
        <v>14</v>
      </c>
      <c r="J7" s="4" t="n">
        <f aca="false">RANK(F7,$F$5:$F$41)</f>
        <v>12</v>
      </c>
    </row>
    <row r="8" customFormat="false" ht="15" hidden="false" customHeight="false" outlineLevel="0" collapsed="false">
      <c r="A8" s="4" t="s">
        <v>15</v>
      </c>
      <c r="B8" s="5" t="n">
        <v>4177828</v>
      </c>
      <c r="C8" s="5" t="n">
        <v>5527809</v>
      </c>
      <c r="D8" s="6" t="n">
        <f aca="false">(C8/B8)^(1/10)-1</f>
        <v>0.0283956885586267</v>
      </c>
      <c r="E8" s="7" t="n">
        <f aca="false">C8*(1+D8)^9</f>
        <v>7112057.41177161</v>
      </c>
      <c r="F8" s="7" t="n">
        <f aca="false">C8*(1+D8)^14</f>
        <v>8180813.46128493</v>
      </c>
      <c r="G8" s="8" t="n">
        <f aca="false">E8/$E$42</f>
        <v>0.0273697461220357</v>
      </c>
      <c r="H8" s="8" t="n">
        <f aca="false">F8/$F$42</f>
        <v>0.0266196273938419</v>
      </c>
      <c r="I8" s="4" t="n">
        <f aca="false">RANK(E8,$E$5:$E$41)</f>
        <v>16</v>
      </c>
      <c r="J8" s="4" t="n">
        <f aca="false">RANK(F8,$F$5:$F$41)</f>
        <v>17</v>
      </c>
    </row>
    <row r="9" customFormat="false" ht="15" hidden="false" customHeight="false" outlineLevel="0" collapsed="false">
      <c r="A9" s="4" t="s">
        <v>16</v>
      </c>
      <c r="B9" s="5" t="n">
        <v>4653066</v>
      </c>
      <c r="C9" s="5" t="n">
        <v>6537314</v>
      </c>
      <c r="D9" s="6" t="n">
        <f aca="false">(C9/B9)^(1/10)-1</f>
        <v>0.0345846088577473</v>
      </c>
      <c r="E9" s="7" t="n">
        <f aca="false">C9*(1+D9)^9</f>
        <v>8877556.90881302</v>
      </c>
      <c r="F9" s="7" t="n">
        <f aca="false">C9*(1+D9)^14</f>
        <v>10522611.3801895</v>
      </c>
      <c r="G9" s="8" t="n">
        <f aca="false">E9/$E$42</f>
        <v>0.0341640210012887</v>
      </c>
      <c r="H9" s="8" t="n">
        <f aca="false">F9/$F$42</f>
        <v>0.0342396261052074</v>
      </c>
      <c r="I9" s="4" t="n">
        <f aca="false">RANK(E9,$E$5:$E$41)</f>
        <v>7</v>
      </c>
      <c r="J9" s="4" t="n">
        <f aca="false">RANK(F9,$F$5:$F$41)</f>
        <v>8</v>
      </c>
    </row>
    <row r="10" customFormat="false" ht="15" hidden="false" customHeight="false" outlineLevel="0" collapsed="false">
      <c r="A10" s="4" t="s">
        <v>17</v>
      </c>
      <c r="B10" s="5" t="n">
        <v>1704515</v>
      </c>
      <c r="C10" s="5" t="n">
        <v>2277961</v>
      </c>
      <c r="D10" s="6" t="n">
        <f aca="false">(C10/B10)^(1/10)-1</f>
        <v>0.0294246080435356</v>
      </c>
      <c r="E10" s="7" t="n">
        <f aca="false">C10*(1+D10)^9</f>
        <v>2957312.34179058</v>
      </c>
      <c r="F10" s="7" t="n">
        <f aca="false">C10*(1+D10)^14</f>
        <v>3418770.31405863</v>
      </c>
      <c r="G10" s="8" t="n">
        <f aca="false">E10/$E$42</f>
        <v>0.0113807978918169</v>
      </c>
      <c r="H10" s="8" t="n">
        <f aca="false">F10/$F$42</f>
        <v>0.0111243695185142</v>
      </c>
      <c r="I10" s="4" t="n">
        <f aca="false">RANK(E10,$E$5:$E$41)</f>
        <v>37</v>
      </c>
      <c r="J10" s="4" t="n">
        <f aca="false">RANK(F10,$F$5:$F$41)</f>
        <v>37</v>
      </c>
    </row>
    <row r="11" customFormat="false" ht="15" hidden="false" customHeight="false" outlineLevel="0" collapsed="false">
      <c r="A11" s="4" t="s">
        <v>18</v>
      </c>
      <c r="B11" s="5" t="n">
        <v>4253641</v>
      </c>
      <c r="C11" s="5" t="n">
        <v>5741815</v>
      </c>
      <c r="D11" s="6" t="n">
        <f aca="false">(C11/B11)^(1/10)-1</f>
        <v>0.0304545381150148</v>
      </c>
      <c r="E11" s="7" t="n">
        <f aca="false">C11*(1+D11)^9</f>
        <v>7521573.80607028</v>
      </c>
      <c r="F11" s="7" t="n">
        <f aca="false">C11*(1+D11)^14</f>
        <v>8738822.18355952</v>
      </c>
      <c r="G11" s="8" t="n">
        <f aca="false">E11/$E$42</f>
        <v>0.0289457119918014</v>
      </c>
      <c r="H11" s="8" t="n">
        <f aca="false">F11/$F$42</f>
        <v>0.0284353373277939</v>
      </c>
      <c r="I11" s="4" t="n">
        <f aca="false">RANK(E11,$E$5:$E$41)</f>
        <v>13</v>
      </c>
      <c r="J11" s="4" t="n">
        <f aca="false">RANK(F11,$F$5:$F$41)</f>
        <v>14</v>
      </c>
    </row>
    <row r="12" customFormat="false" ht="15" hidden="false" customHeight="false" outlineLevel="0" collapsed="false">
      <c r="A12" s="4" t="s">
        <v>19</v>
      </c>
      <c r="B12" s="5" t="n">
        <v>4171104</v>
      </c>
      <c r="C12" s="5" t="n">
        <v>5860183</v>
      </c>
      <c r="D12" s="6" t="n">
        <f aca="false">(C12/B12)^(1/10)-1</f>
        <v>0.0345846152942437</v>
      </c>
      <c r="E12" s="7" t="n">
        <f aca="false">C12*(1+D12)^9</f>
        <v>7958025.42014853</v>
      </c>
      <c r="F12" s="7" t="n">
        <f aca="false">C12*(1+D12)^14</f>
        <v>9432686.52793535</v>
      </c>
      <c r="G12" s="8" t="n">
        <f aca="false">E12/$E$42</f>
        <v>0.0306253342417712</v>
      </c>
      <c r="H12" s="8" t="n">
        <f aca="false">F12/$F$42</f>
        <v>0.0306931091736582</v>
      </c>
      <c r="I12" s="4" t="n">
        <f aca="false">RANK(E12,$E$5:$E$41)</f>
        <v>9</v>
      </c>
      <c r="J12" s="4" t="n">
        <f aca="false">RANK(F12,$F$5:$F$41)</f>
        <v>9</v>
      </c>
    </row>
    <row r="13" customFormat="false" ht="15" hidden="false" customHeight="false" outlineLevel="0" collapsed="false">
      <c r="A13" s="4" t="s">
        <v>20</v>
      </c>
      <c r="B13" s="5" t="n">
        <v>2892988</v>
      </c>
      <c r="C13" s="5" t="n">
        <v>3866269</v>
      </c>
      <c r="D13" s="6" t="n">
        <f aca="false">(C13/B13)^(1/10)-1</f>
        <v>0.0294246028428753</v>
      </c>
      <c r="E13" s="7" t="n">
        <f aca="false">C13*(1+D13)^9</f>
        <v>5019297.74500581</v>
      </c>
      <c r="F13" s="7" t="n">
        <f aca="false">C13*(1+D13)^14</f>
        <v>5802507.04401404</v>
      </c>
      <c r="G13" s="8" t="n">
        <f aca="false">E13/$E$42</f>
        <v>0.0193160568085874</v>
      </c>
      <c r="H13" s="8" t="n">
        <f aca="false">F13/$F$42</f>
        <v>0.0188808333294445</v>
      </c>
      <c r="I13" s="4" t="n">
        <f aca="false">RANK(E13,$E$5:$E$41)</f>
        <v>28</v>
      </c>
      <c r="J13" s="4" t="n">
        <f aca="false">RANK(F13,$F$5:$F$41)</f>
        <v>28</v>
      </c>
    </row>
    <row r="14" customFormat="false" ht="15" hidden="false" customHeight="false" outlineLevel="0" collapsed="false">
      <c r="A14" s="4" t="s">
        <v>21</v>
      </c>
      <c r="B14" s="5" t="n">
        <v>4112445</v>
      </c>
      <c r="C14" s="5" t="n">
        <v>5663362</v>
      </c>
      <c r="D14" s="6" t="n">
        <f aca="false">(C14/B14)^(1/10)-1</f>
        <v>0.0325175018629222</v>
      </c>
      <c r="E14" s="7" t="n">
        <f aca="false">C14*(1+D14)^9</f>
        <v>7553550.20675729</v>
      </c>
      <c r="F14" s="7" t="n">
        <f aca="false">C14*(1+D14)^14</f>
        <v>8864173.13445567</v>
      </c>
      <c r="G14" s="8" t="n">
        <f aca="false">E14/$E$42</f>
        <v>0.0290687686430668</v>
      </c>
      <c r="H14" s="8" t="n">
        <f aca="false">F14/$F$42</f>
        <v>0.0288432179893088</v>
      </c>
      <c r="I14" s="4" t="n">
        <f aca="false">RANK(E14,$E$5:$E$41)</f>
        <v>11</v>
      </c>
      <c r="J14" s="4" t="n">
        <f aca="false">RANK(F14,$F$5:$F$41)</f>
        <v>11</v>
      </c>
    </row>
    <row r="15" customFormat="false" ht="15" hidden="false" customHeight="false" outlineLevel="0" collapsed="false">
      <c r="A15" s="4" t="s">
        <v>22</v>
      </c>
      <c r="B15" s="5" t="n">
        <v>2176947</v>
      </c>
      <c r="C15" s="5" t="n">
        <v>2880383</v>
      </c>
      <c r="D15" s="6" t="n">
        <f aca="false">(C15/B15)^(1/10)-1</f>
        <v>0.0283956674416386</v>
      </c>
      <c r="E15" s="7" t="n">
        <f aca="false">C15*(1+D15)^9</f>
        <v>3705888.80297298</v>
      </c>
      <c r="F15" s="7" t="n">
        <f aca="false">C15*(1+D15)^14</f>
        <v>4262786.43962497</v>
      </c>
      <c r="G15" s="8" t="n">
        <f aca="false">E15/$E$42</f>
        <v>0.0142615884295286</v>
      </c>
      <c r="H15" s="8" t="n">
        <f aca="false">F15/$F$42</f>
        <v>0.0138707216854833</v>
      </c>
      <c r="I15" s="4" t="n">
        <f aca="false">RANK(E15,$E$5:$E$41)</f>
        <v>35</v>
      </c>
      <c r="J15" s="4" t="n">
        <f aca="false">RANK(F15,$F$5:$F$41)</f>
        <v>35</v>
      </c>
    </row>
    <row r="16" customFormat="false" ht="15" hidden="false" customHeight="false" outlineLevel="0" collapsed="false">
      <c r="A16" s="4" t="s">
        <v>23</v>
      </c>
      <c r="B16" s="5" t="n">
        <v>3233366</v>
      </c>
      <c r="C16" s="5" t="n">
        <v>4235595</v>
      </c>
      <c r="D16" s="6" t="n">
        <f aca="false">(C16/B16)^(1/10)-1</f>
        <v>0.0273678144981042</v>
      </c>
      <c r="E16" s="7" t="n">
        <f aca="false">C16*(1+D16)^9</f>
        <v>5400674.8441525</v>
      </c>
      <c r="F16" s="7" t="n">
        <f aca="false">C16*(1+D16)^14</f>
        <v>6181271.37246633</v>
      </c>
      <c r="G16" s="8" t="n">
        <f aca="false">E16/$E$42</f>
        <v>0.0207837325845346</v>
      </c>
      <c r="H16" s="8" t="n">
        <f aca="false">F16/$F$42</f>
        <v>0.0201132982109864</v>
      </c>
      <c r="I16" s="4" t="n">
        <f aca="false">RANK(E16,$E$5:$E$41)</f>
        <v>26</v>
      </c>
      <c r="J16" s="4" t="n">
        <f aca="false">RANK(F16,$F$5:$F$41)</f>
        <v>26</v>
      </c>
    </row>
    <row r="17" customFormat="false" ht="15" hidden="false" customHeight="false" outlineLevel="0" collapsed="false">
      <c r="A17" s="4" t="s">
        <v>24</v>
      </c>
      <c r="B17" s="5" t="n">
        <v>2398957</v>
      </c>
      <c r="C17" s="5" t="n">
        <v>3270798</v>
      </c>
      <c r="D17" s="6" t="n">
        <f aca="false">(C17/B17)^(1/10)-1</f>
        <v>0.0314854969005227</v>
      </c>
      <c r="E17" s="7" t="n">
        <f aca="false">C17*(1+D17)^9</f>
        <v>4323364.55318394</v>
      </c>
      <c r="F17" s="7" t="n">
        <f aca="false">C17*(1+D17)^14</f>
        <v>5048210.86833341</v>
      </c>
      <c r="G17" s="8" t="n">
        <f aca="false">E17/$E$42</f>
        <v>0.0166378564405004</v>
      </c>
      <c r="H17" s="8" t="n">
        <f aca="false">F17/$F$42</f>
        <v>0.016426421768022</v>
      </c>
      <c r="I17" s="4" t="n">
        <f aca="false">RANK(E17,$E$5:$E$41)</f>
        <v>32</v>
      </c>
      <c r="J17" s="4" t="n">
        <f aca="false">RANK(F17,$F$5:$F$41)</f>
        <v>32</v>
      </c>
    </row>
    <row r="18" customFormat="false" ht="15" hidden="false" customHeight="false" outlineLevel="0" collapsed="false">
      <c r="A18" s="4" t="s">
        <v>25</v>
      </c>
      <c r="B18" s="5" t="n">
        <v>3267837</v>
      </c>
      <c r="C18" s="5" t="n">
        <v>4411119</v>
      </c>
      <c r="D18" s="6" t="n">
        <f aca="false">(C18/B18)^(1/10)-1</f>
        <v>0.0304545443214945</v>
      </c>
      <c r="E18" s="7" t="n">
        <f aca="false">C18*(1+D18)^9</f>
        <v>5778409.60121218</v>
      </c>
      <c r="F18" s="7" t="n">
        <f aca="false">C18*(1+D18)^14</f>
        <v>6713554.48094225</v>
      </c>
      <c r="G18" s="8" t="n">
        <f aca="false">E18/$E$42</f>
        <v>0.0222373913225927</v>
      </c>
      <c r="H18" s="8" t="n">
        <f aca="false">F18/$F$42</f>
        <v>0.0218452993234331</v>
      </c>
      <c r="I18" s="4" t="n">
        <f aca="false">RANK(E18,$E$5:$E$41)</f>
        <v>24</v>
      </c>
      <c r="J18" s="4" t="n">
        <f aca="false">RANK(F18,$F$5:$F$41)</f>
        <v>24</v>
      </c>
    </row>
    <row r="19" customFormat="false" ht="15" hidden="false" customHeight="false" outlineLevel="0" collapsed="false">
      <c r="A19" s="4" t="s">
        <v>26</v>
      </c>
      <c r="B19" s="5" t="n">
        <v>2365040</v>
      </c>
      <c r="C19" s="5" t="n">
        <v>3256962</v>
      </c>
      <c r="D19" s="6" t="n">
        <f aca="false">(C19/B19)^(1/10)-1</f>
        <v>0.032517497450504</v>
      </c>
      <c r="E19" s="7" t="n">
        <f aca="false">C19*(1+D19)^9</f>
        <v>4343996.55933965</v>
      </c>
      <c r="F19" s="7" t="n">
        <f aca="false">C19*(1+D19)^14</f>
        <v>5097726.99203779</v>
      </c>
      <c r="G19" s="8" t="n">
        <f aca="false">E19/$E$42</f>
        <v>0.0167172557953953</v>
      </c>
      <c r="H19" s="8" t="n">
        <f aca="false">F19/$F$42</f>
        <v>0.0165875427579133</v>
      </c>
      <c r="I19" s="4" t="n">
        <f aca="false">RANK(E19,$E$5:$E$41)</f>
        <v>31</v>
      </c>
      <c r="J19" s="4" t="n">
        <f aca="false">RANK(F19,$F$5:$F$41)</f>
        <v>31</v>
      </c>
    </row>
    <row r="20" customFormat="false" ht="15" hidden="false" customHeight="false" outlineLevel="0" collapsed="false">
      <c r="A20" s="4" t="s">
        <v>27</v>
      </c>
      <c r="B20" s="5" t="n">
        <v>3927563</v>
      </c>
      <c r="C20" s="5" t="n">
        <v>5408756</v>
      </c>
      <c r="D20" s="6" t="n">
        <f aca="false">(C20/B20)^(1/10)-1</f>
        <v>0.0325175042842254</v>
      </c>
      <c r="E20" s="7" t="n">
        <f aca="false">C20*(1+D20)^9</f>
        <v>7213967.75702643</v>
      </c>
      <c r="F20" s="7" t="n">
        <f aca="false">C20*(1+D20)^14</f>
        <v>8465669.54400312</v>
      </c>
      <c r="G20" s="8" t="n">
        <f aca="false">E20/$E$42</f>
        <v>0.0277619336586853</v>
      </c>
      <c r="H20" s="8" t="n">
        <f aca="false">F20/$F$42</f>
        <v>0.027546523333801</v>
      </c>
      <c r="I20" s="4" t="n">
        <f aca="false">RANK(E20,$E$5:$E$41)</f>
        <v>15</v>
      </c>
      <c r="J20" s="4" t="n">
        <f aca="false">RANK(F20,$F$5:$F$41)</f>
        <v>15</v>
      </c>
    </row>
    <row r="21" customFormat="false" ht="15" hidden="false" customHeight="false" outlineLevel="0" collapsed="false">
      <c r="A21" s="4" t="s">
        <v>28</v>
      </c>
      <c r="B21" s="5" t="n">
        <v>4361002</v>
      </c>
      <c r="C21" s="5" t="n">
        <v>5828163</v>
      </c>
      <c r="D21" s="6" t="n">
        <f aca="false">(C21/B21)^(1/10)-1</f>
        <v>0.0294245953912355</v>
      </c>
      <c r="E21" s="7" t="n">
        <f aca="false">C21*(1+D21)^9</f>
        <v>7566282.50585743</v>
      </c>
      <c r="F21" s="7" t="n">
        <f aca="false">C21*(1+D21)^14</f>
        <v>8746922.01551814</v>
      </c>
      <c r="G21" s="8" t="n">
        <f aca="false">E21/$E$42</f>
        <v>0.0291177670936901</v>
      </c>
      <c r="H21" s="8" t="n">
        <f aca="false">F21/$F$42</f>
        <v>0.0284616934486994</v>
      </c>
      <c r="I21" s="4" t="n">
        <f aca="false">RANK(E21,$E$5:$E$41)</f>
        <v>10</v>
      </c>
      <c r="J21" s="4" t="n">
        <f aca="false">RANK(F21,$F$5:$F$41)</f>
        <v>13</v>
      </c>
    </row>
    <row r="22" customFormat="false" ht="15" hidden="false" customHeight="false" outlineLevel="0" collapsed="false">
      <c r="A22" s="4" t="s">
        <v>29</v>
      </c>
      <c r="B22" s="5" t="n">
        <v>6113503</v>
      </c>
      <c r="C22" s="5" t="n">
        <v>8252366</v>
      </c>
      <c r="D22" s="6" t="n">
        <f aca="false">(C22/B22)^(1/10)-1</f>
        <v>0.0304545355806398</v>
      </c>
      <c r="E22" s="7" t="n">
        <f aca="false">C22*(1+D22)^9</f>
        <v>10810306.2480683</v>
      </c>
      <c r="F22" s="7" t="n">
        <f aca="false">C22*(1+D22)^14</f>
        <v>12559784.0725469</v>
      </c>
      <c r="G22" s="8" t="n">
        <f aca="false">E22/$E$42</f>
        <v>0.041601933221372</v>
      </c>
      <c r="H22" s="8" t="n">
        <f aca="false">F22/$F$42</f>
        <v>0.0408684018698791</v>
      </c>
      <c r="I22" s="4" t="n">
        <f aca="false">RANK(E22,$E$5:$E$41)</f>
        <v>3</v>
      </c>
      <c r="J22" s="4" t="n">
        <f aca="false">RANK(F22,$F$5:$F$41)</f>
        <v>5</v>
      </c>
    </row>
    <row r="23" customFormat="false" ht="15" hidden="false" customHeight="false" outlineLevel="0" collapsed="false">
      <c r="A23" s="4" t="s">
        <v>30</v>
      </c>
      <c r="B23" s="5" t="n">
        <v>9401288</v>
      </c>
      <c r="C23" s="5" t="n">
        <v>13076892</v>
      </c>
      <c r="D23" s="6" t="n">
        <f aca="false">(C23/B23)^(1/10)-1</f>
        <v>0.0335505394427773</v>
      </c>
      <c r="E23" s="7" t="n">
        <f aca="false">C23*(1+D23)^9</f>
        <v>17599081.353706</v>
      </c>
      <c r="F23" s="7" t="n">
        <f aca="false">C23*(1+D23)^14</f>
        <v>20756235.4644331</v>
      </c>
      <c r="G23" s="8" t="n">
        <f aca="false">E23/$E$42</f>
        <v>0.0677275731541091</v>
      </c>
      <c r="H23" s="8" t="n">
        <f aca="false">F23/$F$42</f>
        <v>0.0675389136761067</v>
      </c>
      <c r="I23" s="4" t="n">
        <f aca="false">RANK(E23,$E$5:$E$41)</f>
        <v>1</v>
      </c>
      <c r="J23" s="4" t="n">
        <f aca="false">RANK(F23,$F$5:$F$41)</f>
        <v>1</v>
      </c>
    </row>
    <row r="24" customFormat="false" ht="15" hidden="false" customHeight="false" outlineLevel="0" collapsed="false">
      <c r="A24" s="4" t="s">
        <v>31</v>
      </c>
      <c r="B24" s="5" t="n">
        <v>5801584</v>
      </c>
      <c r="C24" s="5" t="n">
        <v>7831319</v>
      </c>
      <c r="D24" s="6" t="n">
        <f aca="false">(C24/B24)^(1/10)-1</f>
        <v>0.0304545305285626</v>
      </c>
      <c r="E24" s="7" t="n">
        <f aca="false">C24*(1+D24)^9</f>
        <v>10258749.1854759</v>
      </c>
      <c r="F24" s="7" t="n">
        <f aca="false">C24*(1+D24)^14</f>
        <v>11918965.8931695</v>
      </c>
      <c r="G24" s="8" t="n">
        <f aca="false">E24/$E$42</f>
        <v>0.0394793439478399</v>
      </c>
      <c r="H24" s="8" t="n">
        <f aca="false">F24/$F$42</f>
        <v>0.0387832374491337</v>
      </c>
      <c r="I24" s="4" t="n">
        <f aca="false">RANK(E24,$E$5:$E$41)</f>
        <v>5</v>
      </c>
      <c r="J24" s="4" t="n">
        <f aca="false">RANK(F24,$F$5:$F$41)</f>
        <v>6</v>
      </c>
    </row>
    <row r="25" customFormat="false" ht="15" hidden="false" customHeight="false" outlineLevel="0" collapsed="false">
      <c r="A25" s="4" t="s">
        <v>32</v>
      </c>
      <c r="B25" s="5" t="n">
        <v>3256541</v>
      </c>
      <c r="C25" s="5" t="n">
        <v>4440050</v>
      </c>
      <c r="D25" s="6" t="n">
        <f aca="false">(C25/B25)^(1/10)-1</f>
        <v>0.0314855088905393</v>
      </c>
      <c r="E25" s="7" t="n">
        <f aca="false">C25*(1+D25)^9</f>
        <v>5868890.95339221</v>
      </c>
      <c r="F25" s="7" t="n">
        <f aca="false">C25*(1+D25)^14</f>
        <v>6852857.41081163</v>
      </c>
      <c r="G25" s="8" t="n">
        <f aca="false">E25/$E$42</f>
        <v>0.0225855959973534</v>
      </c>
      <c r="H25" s="8" t="n">
        <f aca="false">F25/$F$42</f>
        <v>0.0222985784631595</v>
      </c>
      <c r="I25" s="4" t="n">
        <f aca="false">RANK(E25,$E$5:$E$41)</f>
        <v>22</v>
      </c>
      <c r="J25" s="4" t="n">
        <f aca="false">RANK(F25,$F$5:$F$41)</f>
        <v>22</v>
      </c>
    </row>
    <row r="26" customFormat="false" ht="15" hidden="false" customHeight="false" outlineLevel="0" collapsed="false">
      <c r="A26" s="4" t="s">
        <v>33</v>
      </c>
      <c r="B26" s="5" t="n">
        <v>3314043</v>
      </c>
      <c r="C26" s="5" t="n">
        <v>4473490</v>
      </c>
      <c r="D26" s="6" t="n">
        <f aca="false">(C26/B26)^(1/10)-1</f>
        <v>0.0304545309075108</v>
      </c>
      <c r="E26" s="7" t="n">
        <f aca="false">C26*(1+D26)^9</f>
        <v>5860112.71480913</v>
      </c>
      <c r="F26" s="7" t="n">
        <f aca="false">C26*(1+D26)^14</f>
        <v>6808479.51768391</v>
      </c>
      <c r="G26" s="8" t="n">
        <f aca="false">E26/$E$42</f>
        <v>0.0225518141888686</v>
      </c>
      <c r="H26" s="8" t="n">
        <f aca="false">F26/$F$42</f>
        <v>0.0221541768110287</v>
      </c>
      <c r="I26" s="4" t="n">
        <f aca="false">RANK(E26,$E$5:$E$41)</f>
        <v>23</v>
      </c>
      <c r="J26" s="4" t="n">
        <f aca="false">RANK(F26,$F$5:$F$41)</f>
        <v>23</v>
      </c>
    </row>
    <row r="27" customFormat="false" ht="15" hidden="false" customHeight="false" outlineLevel="0" collapsed="false">
      <c r="A27" s="4" t="s">
        <v>34</v>
      </c>
      <c r="B27" s="5" t="n">
        <v>2365353</v>
      </c>
      <c r="C27" s="5" t="n">
        <v>3192893</v>
      </c>
      <c r="D27" s="6" t="n">
        <f aca="false">(C27/B27)^(1/10)-1</f>
        <v>0.0304545475058748</v>
      </c>
      <c r="E27" s="7" t="n">
        <f aca="false">C27*(1+D27)^9</f>
        <v>4182576.82007167</v>
      </c>
      <c r="F27" s="7" t="n">
        <f aca="false">C27*(1+D27)^14</f>
        <v>4859461.29195476</v>
      </c>
      <c r="G27" s="8" t="n">
        <f aca="false">E27/$E$42</f>
        <v>0.0160960547804067</v>
      </c>
      <c r="H27" s="8" t="n">
        <f aca="false">F27/$F$42</f>
        <v>0.015812247710916</v>
      </c>
      <c r="I27" s="4" t="n">
        <f aca="false">RANK(E27,$E$5:$E$41)</f>
        <v>33</v>
      </c>
      <c r="J27" s="4" t="n">
        <f aca="false">RANK(F27,$F$5:$F$41)</f>
        <v>33</v>
      </c>
    </row>
    <row r="28" customFormat="false" ht="15" hidden="false" customHeight="false" outlineLevel="0" collapsed="false">
      <c r="A28" s="4" t="s">
        <v>35</v>
      </c>
      <c r="B28" s="5" t="n">
        <v>9113605</v>
      </c>
      <c r="C28" s="5" t="n">
        <v>12550598</v>
      </c>
      <c r="D28" s="6" t="n">
        <f aca="false">(C28/B28)^(1/10)-1</f>
        <v>0.0325175013670047</v>
      </c>
      <c r="E28" s="7" t="n">
        <f aca="false">C28*(1+D28)^9</f>
        <v>16739451.1790045</v>
      </c>
      <c r="F28" s="7" t="n">
        <f aca="false">C28*(1+D28)^14</f>
        <v>19643927.55838</v>
      </c>
      <c r="G28" s="8" t="n">
        <f aca="false">E28/$E$42</f>
        <v>0.0644194081213749</v>
      </c>
      <c r="H28" s="8" t="n">
        <f aca="false">F28/$F$42</f>
        <v>0.063919564311098</v>
      </c>
      <c r="I28" s="4" t="n">
        <f aca="false">RANK(E28,$E$5:$E$41)</f>
        <v>2</v>
      </c>
      <c r="J28" s="4" t="n">
        <f aca="false">RANK(F28,$F$5:$F$41)</f>
        <v>2</v>
      </c>
    </row>
    <row r="29" customFormat="false" ht="15" hidden="false" customHeight="false" outlineLevel="0" collapsed="false">
      <c r="A29" s="4" t="s">
        <v>36</v>
      </c>
      <c r="B29" s="5" t="n">
        <v>1869377</v>
      </c>
      <c r="C29" s="5" t="n">
        <v>2523395</v>
      </c>
      <c r="D29" s="6" t="n">
        <f aca="false">(C29/B29)^(1/10)-1</f>
        <v>0.0304545336215196</v>
      </c>
      <c r="E29" s="7" t="n">
        <f aca="false">C29*(1+D29)^9</f>
        <v>3305557.73557301</v>
      </c>
      <c r="F29" s="7" t="n">
        <f aca="false">C29*(1+D29)^14</f>
        <v>3840510.1623173</v>
      </c>
      <c r="G29" s="8" t="n">
        <f aca="false">E29/$E$42</f>
        <v>0.0127209709900005</v>
      </c>
      <c r="H29" s="8" t="n">
        <f aca="false">F29/$F$42</f>
        <v>0.0124966728561847</v>
      </c>
      <c r="I29" s="4" t="n">
        <f aca="false">RANK(E29,$E$5:$E$41)</f>
        <v>36</v>
      </c>
      <c r="J29" s="4" t="n">
        <f aca="false">RANK(F29,$F$5:$F$41)</f>
        <v>36</v>
      </c>
    </row>
    <row r="30" customFormat="false" ht="15" hidden="false" customHeight="false" outlineLevel="0" collapsed="false">
      <c r="A30" s="4" t="s">
        <v>37</v>
      </c>
      <c r="B30" s="5" t="n">
        <v>3954772</v>
      </c>
      <c r="C30" s="5" t="n">
        <v>5556247</v>
      </c>
      <c r="D30" s="6" t="n">
        <f aca="false">(C30/B30)^(1/10)-1</f>
        <v>0.0345845994172973</v>
      </c>
      <c r="E30" s="7" t="n">
        <f aca="false">C30*(1+D30)^9</f>
        <v>7545284.6369457</v>
      </c>
      <c r="F30" s="7" t="n">
        <f aca="false">C30*(1+D30)^14</f>
        <v>8943462.16877297</v>
      </c>
      <c r="G30" s="8" t="n">
        <f aca="false">E30/$E$42</f>
        <v>0.0290369597677724</v>
      </c>
      <c r="H30" s="8" t="n">
        <f aca="false">F30/$F$42</f>
        <v>0.0291012173386318</v>
      </c>
      <c r="I30" s="4" t="n">
        <f aca="false">RANK(E30,$E$5:$E$41)</f>
        <v>12</v>
      </c>
      <c r="J30" s="4" t="n">
        <f aca="false">RANK(F30,$F$5:$F$41)</f>
        <v>10</v>
      </c>
    </row>
    <row r="31" customFormat="false" ht="15" hidden="false" customHeight="false" outlineLevel="0" collapsed="false">
      <c r="A31" s="4" t="s">
        <v>38</v>
      </c>
      <c r="B31" s="5" t="n">
        <v>3751140</v>
      </c>
      <c r="C31" s="5" t="n">
        <v>5217716</v>
      </c>
      <c r="D31" s="6" t="n">
        <f aca="false">(C31/B31)^(1/10)-1</f>
        <v>0.0335505355687009</v>
      </c>
      <c r="E31" s="7" t="n">
        <f aca="false">C31*(1+D31)^9</f>
        <v>7022081.79640559</v>
      </c>
      <c r="F31" s="7" t="n">
        <f aca="false">C31*(1+D31)^14</f>
        <v>8281794.80256718</v>
      </c>
      <c r="G31" s="8" t="n">
        <f aca="false">E31/$E$42</f>
        <v>0.0270234877038084</v>
      </c>
      <c r="H31" s="8" t="n">
        <f aca="false">F31/$F$42</f>
        <v>0.0269482115488755</v>
      </c>
      <c r="I31" s="4" t="n">
        <f aca="false">RANK(E31,$E$5:$E$41)</f>
        <v>17</v>
      </c>
      <c r="J31" s="4" t="n">
        <f aca="false">RANK(F31,$F$5:$F$41)</f>
        <v>16</v>
      </c>
    </row>
    <row r="32" customFormat="false" ht="15" hidden="false" customHeight="false" outlineLevel="0" collapsed="false">
      <c r="A32" s="4" t="s">
        <v>39</v>
      </c>
      <c r="B32" s="5" t="n">
        <v>3460877</v>
      </c>
      <c r="C32" s="5" t="n">
        <v>4671695</v>
      </c>
      <c r="D32" s="6" t="n">
        <f aca="false">(C32/B32)^(1/10)-1</f>
        <v>0.0304545273277557</v>
      </c>
      <c r="E32" s="7" t="n">
        <f aca="false">C32*(1+D32)^9</f>
        <v>6119754.02052137</v>
      </c>
      <c r="F32" s="7" t="n">
        <f aca="false">C32*(1+D32)^14</f>
        <v>7110139.54952694</v>
      </c>
      <c r="G32" s="8" t="n">
        <f aca="false">E32/$E$42</f>
        <v>0.0235510069974609</v>
      </c>
      <c r="H32" s="8" t="n">
        <f aca="false">F32/$F$42</f>
        <v>0.0231357512822323</v>
      </c>
      <c r="I32" s="4" t="n">
        <f aca="false">RANK(E32,$E$5:$E$41)</f>
        <v>20</v>
      </c>
      <c r="J32" s="4" t="n">
        <f aca="false">RANK(F32,$F$5:$F$41)</f>
        <v>20</v>
      </c>
    </row>
    <row r="33" customFormat="false" ht="15" hidden="false" customHeight="false" outlineLevel="0" collapsed="false">
      <c r="A33" s="4" t="s">
        <v>40</v>
      </c>
      <c r="B33" s="5" t="n">
        <v>3416959</v>
      </c>
      <c r="C33" s="5" t="n">
        <v>4705589</v>
      </c>
      <c r="D33" s="6" t="n">
        <f aca="false">(C33/B33)^(1/10)-1</f>
        <v>0.032517502924424</v>
      </c>
      <c r="E33" s="7" t="n">
        <f aca="false">C33*(1+D33)^9</f>
        <v>6276113.56871411</v>
      </c>
      <c r="F33" s="7" t="n">
        <f aca="false">C33*(1+D33)^14</f>
        <v>7365087.41555613</v>
      </c>
      <c r="G33" s="8" t="n">
        <f aca="false">E33/$E$42</f>
        <v>0.0241527345834487</v>
      </c>
      <c r="H33" s="8" t="n">
        <f aca="false">F33/$F$42</f>
        <v>0.0239653285890208</v>
      </c>
      <c r="I33" s="4" t="n">
        <f aca="false">RANK(E33,$E$5:$E$41)</f>
        <v>19</v>
      </c>
      <c r="J33" s="4" t="n">
        <f aca="false">RANK(F33,$F$5:$F$41)</f>
        <v>19</v>
      </c>
    </row>
    <row r="34" customFormat="false" ht="15" hidden="false" customHeight="false" outlineLevel="0" collapsed="false">
      <c r="A34" s="4" t="s">
        <v>41</v>
      </c>
      <c r="B34" s="5" t="n">
        <v>5580894</v>
      </c>
      <c r="C34" s="5" t="n">
        <v>7840864</v>
      </c>
      <c r="D34" s="6" t="n">
        <f aca="false">(C34/B34)^(1/10)-1</f>
        <v>0.0345846122898381</v>
      </c>
      <c r="E34" s="7" t="n">
        <f aca="false">C34*(1+D34)^9</f>
        <v>10647755.0952102</v>
      </c>
      <c r="F34" s="7" t="n">
        <f aca="false">C34*(1+D34)^14</f>
        <v>12620836.1092592</v>
      </c>
      <c r="G34" s="8" t="n">
        <f aca="false">E34/$E$42</f>
        <v>0.0409763781213515</v>
      </c>
      <c r="H34" s="8" t="n">
        <f aca="false">F34/$F$42</f>
        <v>0.0410670596777618</v>
      </c>
      <c r="I34" s="4" t="n">
        <f aca="false">RANK(E34,$E$5:$E$41)</f>
        <v>4</v>
      </c>
      <c r="J34" s="4" t="n">
        <f aca="false">RANK(F34,$F$5:$F$41)</f>
        <v>4</v>
      </c>
    </row>
    <row r="35" customFormat="false" ht="15" hidden="false" customHeight="false" outlineLevel="0" collapsed="false">
      <c r="A35" s="4" t="s">
        <v>42</v>
      </c>
      <c r="B35" s="5" t="n">
        <v>3206531</v>
      </c>
      <c r="C35" s="5" t="n">
        <v>4200442</v>
      </c>
      <c r="D35" s="6" t="n">
        <f aca="false">(C35/B35)^(1/10)-1</f>
        <v>0.0273678120534853</v>
      </c>
      <c r="E35" s="7" t="n">
        <f aca="false">C35*(1+D35)^9</f>
        <v>5355852.23750307</v>
      </c>
      <c r="F35" s="7" t="n">
        <f aca="false">C35*(1+D35)^14</f>
        <v>6129970.1745245</v>
      </c>
      <c r="G35" s="8" t="n">
        <f aca="false">E35/$E$42</f>
        <v>0.0206112391282118</v>
      </c>
      <c r="H35" s="8" t="n">
        <f aca="false">F35/$F$42</f>
        <v>0.019946368750911</v>
      </c>
      <c r="I35" s="4" t="n">
        <f aca="false">RANK(E35,$E$5:$E$41)</f>
        <v>27</v>
      </c>
      <c r="J35" s="4" t="n">
        <f aca="false">RANK(F35,$F$5:$F$41)</f>
        <v>27</v>
      </c>
    </row>
    <row r="36" customFormat="false" ht="15" hidden="false" customHeight="false" outlineLevel="0" collapsed="false">
      <c r="A36" s="4" t="s">
        <v>43</v>
      </c>
      <c r="B36" s="5" t="n">
        <v>5198716</v>
      </c>
      <c r="C36" s="5" t="n">
        <v>7303924</v>
      </c>
      <c r="D36" s="6" t="n">
        <f aca="false">(C36/B36)^(1/10)-1</f>
        <v>0.0345846135523624</v>
      </c>
      <c r="E36" s="7" t="n">
        <f aca="false">C36*(1+D36)^9</f>
        <v>9918600.14918901</v>
      </c>
      <c r="F36" s="7" t="n">
        <f aca="false">C36*(1+D36)^14</f>
        <v>11756565.2628792</v>
      </c>
      <c r="G36" s="8" t="n">
        <f aca="false">E36/$E$42</f>
        <v>0.0381703285353071</v>
      </c>
      <c r="H36" s="8" t="n">
        <f aca="false">F36/$F$42</f>
        <v>0.0382548004804494</v>
      </c>
      <c r="I36" s="4" t="n">
        <f aca="false">RANK(E36,$E$5:$E$41)</f>
        <v>6</v>
      </c>
      <c r="J36" s="4" t="n">
        <f aca="false">RANK(F36,$F$5:$F$41)</f>
        <v>7</v>
      </c>
    </row>
    <row r="37" customFormat="false" ht="15" hidden="false" customHeight="false" outlineLevel="0" collapsed="false">
      <c r="A37" s="4" t="s">
        <v>44</v>
      </c>
      <c r="B37" s="5" t="n">
        <v>3702676</v>
      </c>
      <c r="C37" s="5" t="n">
        <v>4998090</v>
      </c>
      <c r="D37" s="6" t="n">
        <f aca="false">(C37/B37)^(1/10)-1</f>
        <v>0.0304545378666112</v>
      </c>
      <c r="E37" s="7" t="n">
        <f aca="false">C37*(1+D37)^9</f>
        <v>6547320.44533313</v>
      </c>
      <c r="F37" s="7" t="n">
        <f aca="false">C37*(1+D37)^14</f>
        <v>7606901.23593697</v>
      </c>
      <c r="G37" s="8" t="n">
        <f aca="false">E37/$E$42</f>
        <v>0.0251964358543815</v>
      </c>
      <c r="H37" s="8" t="n">
        <f aca="false">F37/$F$42</f>
        <v>0.0247521688986895</v>
      </c>
      <c r="I37" s="4" t="n">
        <f aca="false">RANK(E37,$E$5:$E$41)</f>
        <v>18</v>
      </c>
      <c r="J37" s="4" t="n">
        <f aca="false">RANK(F37,$F$5:$F$41)</f>
        <v>18</v>
      </c>
    </row>
    <row r="38" customFormat="false" ht="15" hidden="false" customHeight="false" outlineLevel="0" collapsed="false">
      <c r="A38" s="4" t="s">
        <v>45</v>
      </c>
      <c r="B38" s="5" t="n">
        <v>2294800</v>
      </c>
      <c r="C38" s="5" t="n">
        <v>3066834</v>
      </c>
      <c r="D38" s="6" t="n">
        <f aca="false">(C38/B38)^(1/10)-1</f>
        <v>0.0294246012044865</v>
      </c>
      <c r="E38" s="7" t="n">
        <f aca="false">C38*(1+D38)^9</f>
        <v>3981448.97833349</v>
      </c>
      <c r="F38" s="7" t="n">
        <f aca="false">C38*(1+D38)^14</f>
        <v>4602712.71639653</v>
      </c>
      <c r="G38" s="8" t="n">
        <f aca="false">E38/$E$42</f>
        <v>0.0153220427543879</v>
      </c>
      <c r="H38" s="8" t="n">
        <f aca="false">F38/$F$42</f>
        <v>0.0149768110581181</v>
      </c>
      <c r="I38" s="4" t="n">
        <f aca="false">RANK(E38,$E$5:$E$41)</f>
        <v>34</v>
      </c>
      <c r="J38" s="4" t="n">
        <f aca="false">RANK(F38,$F$5:$F$41)</f>
        <v>34</v>
      </c>
    </row>
    <row r="39" customFormat="false" ht="15" hidden="false" customHeight="false" outlineLevel="0" collapsed="false">
      <c r="A39" s="4" t="s">
        <v>46</v>
      </c>
      <c r="B39" s="5" t="n">
        <v>2321339</v>
      </c>
      <c r="C39" s="5" t="n">
        <v>3294137</v>
      </c>
      <c r="D39" s="6" t="n">
        <f aca="false">(C39/B39)^(1/10)-1</f>
        <v>0.0356197136982115</v>
      </c>
      <c r="E39" s="7" t="n">
        <f aca="false">C39*(1+D39)^9</f>
        <v>4513822.08797555</v>
      </c>
      <c r="F39" s="7" t="n">
        <f aca="false">C39*(1+D39)^14</f>
        <v>5377073.61193273</v>
      </c>
      <c r="G39" s="8" t="n">
        <f aca="false">E39/$E$42</f>
        <v>0.0173708053007904</v>
      </c>
      <c r="H39" s="8" t="n">
        <f aca="false">F39/$F$42</f>
        <v>0.0174965114039438</v>
      </c>
      <c r="I39" s="4" t="n">
        <f aca="false">RANK(E39,$E$5:$E$41)</f>
        <v>30</v>
      </c>
      <c r="J39" s="4" t="n">
        <f aca="false">RANK(F39,$F$5:$F$41)</f>
        <v>30</v>
      </c>
    </row>
    <row r="40" customFormat="false" ht="15" hidden="false" customHeight="false" outlineLevel="0" collapsed="false">
      <c r="A40" s="4" t="s">
        <v>47</v>
      </c>
      <c r="B40" s="5" t="n">
        <v>3278873</v>
      </c>
      <c r="C40" s="5" t="n">
        <v>4515427</v>
      </c>
      <c r="D40" s="6" t="n">
        <f aca="false">(C40/B40)^(1/10)-1</f>
        <v>0.0325175042982739</v>
      </c>
      <c r="E40" s="7" t="n">
        <f aca="false">C40*(1+D40)^9</f>
        <v>6022483.6896313</v>
      </c>
      <c r="F40" s="7" t="n">
        <f aca="false">C40*(1+D40)^14</f>
        <v>7067450.04569459</v>
      </c>
      <c r="G40" s="8" t="n">
        <f aca="false">E40/$E$42</f>
        <v>0.0231766758992247</v>
      </c>
      <c r="H40" s="8" t="n">
        <f aca="false">F40/$F$42</f>
        <v>0.0229968434962251</v>
      </c>
      <c r="I40" s="4" t="n">
        <f aca="false">RANK(E40,$E$5:$E$41)</f>
        <v>21</v>
      </c>
      <c r="J40" s="4" t="n">
        <f aca="false">RANK(F40,$F$5:$F$41)</f>
        <v>21</v>
      </c>
    </row>
    <row r="41" customFormat="false" ht="15" hidden="false" customHeight="false" outlineLevel="0" collapsed="false">
      <c r="A41" s="9" t="s">
        <v>48</v>
      </c>
      <c r="B41" s="10" t="n">
        <v>1406239</v>
      </c>
      <c r="C41" s="10" t="n">
        <v>3564126</v>
      </c>
      <c r="D41" s="11" t="n">
        <f aca="false">(C41/B41)^(1/10)-1</f>
        <v>0.0974617460013914</v>
      </c>
      <c r="E41" s="12" t="n">
        <f aca="false">C41*(1+D41)^9</f>
        <v>8231094.13477791</v>
      </c>
      <c r="F41" s="12" t="n">
        <f aca="false">C41*(1+D41)^14</f>
        <v>13104019.2934263</v>
      </c>
      <c r="G41" s="13" t="n">
        <f aca="false">E41/$E$42</f>
        <v>0.0316762005327134</v>
      </c>
      <c r="H41" s="13" t="n">
        <f aca="false">F41/$F$42</f>
        <v>0.0426392940755228</v>
      </c>
      <c r="I41" s="9" t="n">
        <f aca="false">RANK(E41,$E$5:$E$41)</f>
        <v>8</v>
      </c>
      <c r="J41" s="9" t="n">
        <f aca="false">RANK(F41,$F$5:$F$41)</f>
        <v>3</v>
      </c>
    </row>
    <row r="42" customFormat="false" ht="15" hidden="false" customHeight="false" outlineLevel="0" collapsed="false">
      <c r="A42" s="14" t="s">
        <v>49</v>
      </c>
      <c r="B42" s="15" t="n">
        <f aca="false">SUM(B5:B41)</f>
        <v>140431790</v>
      </c>
      <c r="C42" s="15" t="n">
        <f aca="false">SUM(C5:C41)</f>
        <v>193500543</v>
      </c>
      <c r="D42" s="16"/>
      <c r="E42" s="15" t="n">
        <f aca="false">SUM(E5:E41)</f>
        <v>259851055.251317</v>
      </c>
      <c r="F42" s="15" t="n">
        <f aca="false">SUM(F5:F41)</f>
        <v>307322613.508011</v>
      </c>
      <c r="G42" s="16"/>
      <c r="H42" s="16"/>
      <c r="I42" s="16"/>
      <c r="J42" s="16"/>
    </row>
    <row r="44" customFormat="false" ht="39.75" hidden="false" customHeight="true" outlineLevel="0" collapsed="false">
      <c r="A44" s="17" t="s">
        <v>50</v>
      </c>
      <c r="B44" s="17"/>
      <c r="C44" s="17"/>
      <c r="D44" s="17"/>
      <c r="E44" s="17"/>
      <c r="F44" s="17"/>
      <c r="G44" s="17"/>
      <c r="H44" s="17"/>
      <c r="I44" s="17"/>
      <c r="J44" s="17"/>
    </row>
  </sheetData>
  <mergeCells count="3">
    <mergeCell ref="A1:J1"/>
    <mergeCell ref="A2:J2"/>
    <mergeCell ref="A44:J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8"/>
    <col collapsed="false" customWidth="true" hidden="false" outlineLevel="0" max="5" min="4" style="0" width="22"/>
  </cols>
  <sheetData>
    <row r="1" customFormat="false" ht="17.35" hidden="false" customHeight="false" outlineLevel="0" collapsed="false">
      <c r="A1" s="1" t="s">
        <v>51</v>
      </c>
      <c r="B1" s="1"/>
      <c r="C1" s="1"/>
      <c r="D1" s="1"/>
      <c r="E1" s="1"/>
      <c r="F1" s="1"/>
    </row>
    <row r="2" customFormat="false" ht="42" hidden="false" customHeight="true" outlineLevel="0" collapsed="false">
      <c r="A2" s="2" t="s">
        <v>52</v>
      </c>
      <c r="B2" s="2"/>
      <c r="C2" s="2"/>
      <c r="D2" s="2"/>
      <c r="E2" s="2"/>
      <c r="F2" s="2"/>
    </row>
    <row r="4" customFormat="false" ht="15" hidden="false" customHeight="false" outlineLevel="0" collapsed="false">
      <c r="A4" s="18" t="s">
        <v>53</v>
      </c>
      <c r="C4" s="19" t="n">
        <v>237527781</v>
      </c>
      <c r="D4" s="20" t="s">
        <v>54</v>
      </c>
    </row>
    <row r="5" customFormat="false" ht="15" hidden="false" customHeight="false" outlineLevel="0" collapsed="false">
      <c r="A5" s="18" t="s">
        <v>55</v>
      </c>
      <c r="C5" s="19" t="n">
        <v>262432485</v>
      </c>
      <c r="D5" s="20" t="s">
        <v>56</v>
      </c>
    </row>
    <row r="7" customFormat="false" ht="33.75" hidden="false" customHeight="true" outlineLevel="0" collapsed="false">
      <c r="A7" s="3" t="s">
        <v>2</v>
      </c>
      <c r="B7" s="3" t="s">
        <v>4</v>
      </c>
      <c r="C7" s="3" t="s">
        <v>57</v>
      </c>
      <c r="D7" s="3" t="s">
        <v>58</v>
      </c>
      <c r="E7" s="3" t="s">
        <v>59</v>
      </c>
    </row>
    <row r="8" customFormat="false" ht="15" hidden="false" customHeight="false" outlineLevel="0" collapsed="false">
      <c r="A8" s="4" t="s">
        <v>12</v>
      </c>
      <c r="B8" s="5" t="n">
        <v>3727347</v>
      </c>
      <c r="C8" s="8" t="n">
        <f aca="false">B8/$B$45</f>
        <v>0.0192627211387205</v>
      </c>
      <c r="D8" s="7" t="n">
        <f aca="false">C8*$C$4</f>
        <v>4575431.40810208</v>
      </c>
      <c r="E8" s="7" t="n">
        <f aca="false">C8*$C$5</f>
        <v>5055163.77629646</v>
      </c>
    </row>
    <row r="9" customFormat="false" ht="15" hidden="false" customHeight="false" outlineLevel="0" collapsed="false">
      <c r="A9" s="4" t="s">
        <v>13</v>
      </c>
      <c r="B9" s="5" t="n">
        <v>4248436</v>
      </c>
      <c r="C9" s="8" t="n">
        <f aca="false">B9/$B$45</f>
        <v>0.021955679990004</v>
      </c>
      <c r="D9" s="7" t="n">
        <f aca="false">C9*$C$4</f>
        <v>5215083.94837174</v>
      </c>
      <c r="E9" s="7" t="n">
        <f aca="false">C9*$C$5</f>
        <v>5761883.65964151</v>
      </c>
    </row>
    <row r="10" customFormat="false" ht="15" hidden="false" customHeight="false" outlineLevel="0" collapsed="false">
      <c r="A10" s="4" t="s">
        <v>14</v>
      </c>
      <c r="B10" s="5" t="n">
        <v>5482177</v>
      </c>
      <c r="C10" s="8" t="n">
        <f aca="false">B10/$B$45</f>
        <v>0.0283315845785508</v>
      </c>
      <c r="D10" s="7" t="n">
        <f aca="false">C10*$C$4</f>
        <v>6729538.41715698</v>
      </c>
      <c r="E10" s="7" t="n">
        <f aca="false">C10*$C$5</f>
        <v>7435128.14493676</v>
      </c>
    </row>
    <row r="11" customFormat="false" ht="15" hidden="false" customHeight="false" outlineLevel="0" collapsed="false">
      <c r="A11" s="4" t="s">
        <v>15</v>
      </c>
      <c r="B11" s="5" t="n">
        <v>5527809</v>
      </c>
      <c r="C11" s="8" t="n">
        <f aca="false">B11/$B$45</f>
        <v>0.0285674082061878</v>
      </c>
      <c r="D11" s="7" t="n">
        <f aca="false">C11*$C$4</f>
        <v>6785553.08013699</v>
      </c>
      <c r="E11" s="7" t="n">
        <f aca="false">C11*$C$5</f>
        <v>7497015.92555926</v>
      </c>
    </row>
    <row r="12" customFormat="false" ht="15" hidden="false" customHeight="false" outlineLevel="0" collapsed="false">
      <c r="A12" s="4" t="s">
        <v>16</v>
      </c>
      <c r="B12" s="5" t="n">
        <v>6537314</v>
      </c>
      <c r="C12" s="8" t="n">
        <f aca="false">B12/$B$45</f>
        <v>0.0337844736694098</v>
      </c>
      <c r="D12" s="7" t="n">
        <f aca="false">C12*$C$4</f>
        <v>8024751.06294784</v>
      </c>
      <c r="E12" s="7" t="n">
        <f aca="false">C12*$C$5</f>
        <v>8866143.37948028</v>
      </c>
    </row>
    <row r="13" customFormat="false" ht="15" hidden="false" customHeight="false" outlineLevel="0" collapsed="false">
      <c r="A13" s="4" t="s">
        <v>17</v>
      </c>
      <c r="B13" s="5" t="n">
        <v>2277961</v>
      </c>
      <c r="C13" s="8" t="n">
        <f aca="false">B13/$B$45</f>
        <v>0.0117723752330762</v>
      </c>
      <c r="D13" s="7" t="n">
        <f aca="false">C13*$C$4</f>
        <v>2796266.16621195</v>
      </c>
      <c r="E13" s="7" t="n">
        <f aca="false">C13*$C$5</f>
        <v>3089453.68676865</v>
      </c>
    </row>
    <row r="14" customFormat="false" ht="15" hidden="false" customHeight="false" outlineLevel="0" collapsed="false">
      <c r="A14" s="4" t="s">
        <v>18</v>
      </c>
      <c r="B14" s="5" t="n">
        <v>5741815</v>
      </c>
      <c r="C14" s="8" t="n">
        <f aca="false">B14/$B$45</f>
        <v>0.0296733792628168</v>
      </c>
      <c r="D14" s="7" t="n">
        <f aca="false">C14*$C$4</f>
        <v>7048251.9310683</v>
      </c>
      <c r="E14" s="7" t="n">
        <f aca="false">C14*$C$5</f>
        <v>7787258.65828849</v>
      </c>
    </row>
    <row r="15" customFormat="false" ht="15" hidden="false" customHeight="false" outlineLevel="0" collapsed="false">
      <c r="A15" s="4" t="s">
        <v>19</v>
      </c>
      <c r="B15" s="5" t="n">
        <v>5860183</v>
      </c>
      <c r="C15" s="8" t="n">
        <f aca="false">B15/$B$45</f>
        <v>0.030285098476442</v>
      </c>
      <c r="D15" s="7" t="n">
        <f aca="false">C15*$C$4</f>
        <v>7193552.23847575</v>
      </c>
      <c r="E15" s="7" t="n">
        <f aca="false">C15*$C$5</f>
        <v>7947793.65164239</v>
      </c>
    </row>
    <row r="16" customFormat="false" ht="15" hidden="false" customHeight="false" outlineLevel="0" collapsed="false">
      <c r="A16" s="4" t="s">
        <v>20</v>
      </c>
      <c r="B16" s="5" t="n">
        <v>3866269</v>
      </c>
      <c r="C16" s="8" t="n">
        <f aca="false">B16/$B$45</f>
        <v>0.0199806622764878</v>
      </c>
      <c r="D16" s="7" t="n">
        <f aca="false">C16*$C$4</f>
        <v>4745962.37344455</v>
      </c>
      <c r="E16" s="7" t="n">
        <f aca="false">C16*$C$5</f>
        <v>5243574.85316444</v>
      </c>
    </row>
    <row r="17" customFormat="false" ht="15" hidden="false" customHeight="false" outlineLevel="0" collapsed="false">
      <c r="A17" s="4" t="s">
        <v>21</v>
      </c>
      <c r="B17" s="5" t="n">
        <v>5663362</v>
      </c>
      <c r="C17" s="8" t="n">
        <f aca="false">B17/$B$45</f>
        <v>0.0292679385401001</v>
      </c>
      <c r="D17" s="7" t="n">
        <f aca="false">C17*$C$4</f>
        <v>6951948.49587436</v>
      </c>
      <c r="E17" s="7" t="n">
        <f aca="false">C17*$C$5</f>
        <v>7680857.84190575</v>
      </c>
    </row>
    <row r="18" customFormat="false" ht="15" hidden="false" customHeight="false" outlineLevel="0" collapsed="false">
      <c r="A18" s="4" t="s">
        <v>22</v>
      </c>
      <c r="B18" s="5" t="n">
        <v>2880383</v>
      </c>
      <c r="C18" s="8" t="n">
        <f aca="false">B18/$B$45</f>
        <v>0.01488565848624</v>
      </c>
      <c r="D18" s="7" t="n">
        <f aca="false">C18*$C$4</f>
        <v>3535757.42896041</v>
      </c>
      <c r="E18" s="7" t="n">
        <f aca="false">C18*$C$5</f>
        <v>3906480.3474053</v>
      </c>
    </row>
    <row r="19" customFormat="false" ht="15" hidden="false" customHeight="false" outlineLevel="0" collapsed="false">
      <c r="A19" s="4" t="s">
        <v>23</v>
      </c>
      <c r="B19" s="5" t="n">
        <v>4235595</v>
      </c>
      <c r="C19" s="8" t="n">
        <f aca="false">B19/$B$45</f>
        <v>0.021889318419122</v>
      </c>
      <c r="D19" s="7" t="n">
        <f aca="false">C19*$C$4</f>
        <v>5199321.23169647</v>
      </c>
      <c r="E19" s="7" t="n">
        <f aca="false">C19*$C$5</f>
        <v>5744468.22768645</v>
      </c>
    </row>
    <row r="20" customFormat="false" ht="15" hidden="false" customHeight="false" outlineLevel="0" collapsed="false">
      <c r="A20" s="4" t="s">
        <v>24</v>
      </c>
      <c r="B20" s="5" t="n">
        <v>3270798</v>
      </c>
      <c r="C20" s="8" t="n">
        <f aca="false">B20/$B$45</f>
        <v>0.0169033014031387</v>
      </c>
      <c r="D20" s="7" t="n">
        <f aca="false">C20*$C$4</f>
        <v>4015003.67386172</v>
      </c>
      <c r="E20" s="7" t="n">
        <f aca="false">C20*$C$5</f>
        <v>4435975.39192968</v>
      </c>
    </row>
    <row r="21" customFormat="false" ht="15" hidden="false" customHeight="false" outlineLevel="0" collapsed="false">
      <c r="A21" s="4" t="s">
        <v>25</v>
      </c>
      <c r="B21" s="5" t="n">
        <v>4411119</v>
      </c>
      <c r="C21" s="8" t="n">
        <f aca="false">B21/$B$45</f>
        <v>0.0227964166488153</v>
      </c>
      <c r="D21" s="7" t="n">
        <f aca="false">C21*$C$4</f>
        <v>5414782.26134455</v>
      </c>
      <c r="E21" s="7" t="n">
        <f aca="false">C21*$C$5</f>
        <v>5982520.27024397</v>
      </c>
    </row>
    <row r="22" customFormat="false" ht="15" hidden="false" customHeight="false" outlineLevel="0" collapsed="false">
      <c r="A22" s="4" t="s">
        <v>26</v>
      </c>
      <c r="B22" s="5" t="n">
        <v>3256962</v>
      </c>
      <c r="C22" s="8" t="n">
        <f aca="false">B22/$B$45</f>
        <v>0.0168317977278234</v>
      </c>
      <c r="D22" s="7" t="n">
        <f aca="false">C22*$C$4</f>
        <v>3998019.56453074</v>
      </c>
      <c r="E22" s="7" t="n">
        <f aca="false">C22*$C$5</f>
        <v>4417210.50473006</v>
      </c>
    </row>
    <row r="23" customFormat="false" ht="15" hidden="false" customHeight="false" outlineLevel="0" collapsed="false">
      <c r="A23" s="4" t="s">
        <v>27</v>
      </c>
      <c r="B23" s="5" t="n">
        <v>5408756</v>
      </c>
      <c r="C23" s="8" t="n">
        <f aca="false">B23/$B$45</f>
        <v>0.0279521489508172</v>
      </c>
      <c r="D23" s="7" t="n">
        <f aca="false">C23*$C$4</f>
        <v>6639411.91446908</v>
      </c>
      <c r="E23" s="7" t="n">
        <f aca="false">C23*$C$5</f>
        <v>7335551.91025309</v>
      </c>
    </row>
    <row r="24" customFormat="false" ht="15" hidden="false" customHeight="false" outlineLevel="0" collapsed="false">
      <c r="A24" s="4" t="s">
        <v>28</v>
      </c>
      <c r="B24" s="5" t="n">
        <v>5828163</v>
      </c>
      <c r="C24" s="8" t="n">
        <f aca="false">B24/$B$45</f>
        <v>0.0301196209046297</v>
      </c>
      <c r="D24" s="7" t="n">
        <f aca="false">C24*$C$4</f>
        <v>7154246.71803791</v>
      </c>
      <c r="E24" s="7" t="n">
        <f aca="false">C24*$C$5</f>
        <v>7904366.96125992</v>
      </c>
    </row>
    <row r="25" customFormat="false" ht="15" hidden="false" customHeight="false" outlineLevel="0" collapsed="false">
      <c r="A25" s="4" t="s">
        <v>29</v>
      </c>
      <c r="B25" s="5" t="n">
        <v>8252366</v>
      </c>
      <c r="C25" s="8" t="n">
        <f aca="false">B25/$B$45</f>
        <v>0.0426477666266807</v>
      </c>
      <c r="D25" s="7" t="n">
        <f aca="false">C25*$C$4</f>
        <v>10130029.3714413</v>
      </c>
      <c r="E25" s="7" t="n">
        <f aca="false">C25*$C$5</f>
        <v>11192159.3755399</v>
      </c>
    </row>
    <row r="26" customFormat="false" ht="15" hidden="false" customHeight="false" outlineLevel="0" collapsed="false">
      <c r="A26" s="4" t="s">
        <v>30</v>
      </c>
      <c r="B26" s="5" t="n">
        <v>13076892</v>
      </c>
      <c r="C26" s="8" t="n">
        <f aca="false">B26/$B$45</f>
        <v>0.0675806475643844</v>
      </c>
      <c r="D26" s="7" t="n">
        <f aca="false">C26*$C$4</f>
        <v>16052281.2545113</v>
      </c>
      <c r="E26" s="7" t="n">
        <f aca="false">C26*$C$5</f>
        <v>17735357.2782306</v>
      </c>
    </row>
    <row r="27" customFormat="false" ht="15" hidden="false" customHeight="false" outlineLevel="0" collapsed="false">
      <c r="A27" s="4" t="s">
        <v>31</v>
      </c>
      <c r="B27" s="5" t="n">
        <v>7831319</v>
      </c>
      <c r="C27" s="8" t="n">
        <f aca="false">B27/$B$45</f>
        <v>0.0404718192444556</v>
      </c>
      <c r="D27" s="7" t="n">
        <f aca="false">C27*$C$4</f>
        <v>9613181.41816863</v>
      </c>
      <c r="E27" s="7" t="n">
        <f aca="false">C27*$C$5</f>
        <v>10621120.0967933</v>
      </c>
    </row>
    <row r="28" customFormat="false" ht="15" hidden="false" customHeight="false" outlineLevel="0" collapsed="false">
      <c r="A28" s="4" t="s">
        <v>32</v>
      </c>
      <c r="B28" s="5" t="n">
        <v>4440050</v>
      </c>
      <c r="C28" s="8" t="n">
        <f aca="false">B28/$B$45</f>
        <v>0.0229459304411358</v>
      </c>
      <c r="D28" s="7" t="n">
        <f aca="false">C28*$C$4</f>
        <v>5450295.94066333</v>
      </c>
      <c r="E28" s="7" t="n">
        <f aca="false">C28*$C$5</f>
        <v>6021757.54630441</v>
      </c>
    </row>
    <row r="29" customFormat="false" ht="15" hidden="false" customHeight="false" outlineLevel="0" collapsed="false">
      <c r="A29" s="4" t="s">
        <v>33</v>
      </c>
      <c r="B29" s="5" t="n">
        <v>4473490</v>
      </c>
      <c r="C29" s="8" t="n">
        <f aca="false">B29/$B$45</f>
        <v>0.0231187464936468</v>
      </c>
      <c r="D29" s="7" t="n">
        <f aca="false">C29*$C$4</f>
        <v>5491344.55413745</v>
      </c>
      <c r="E29" s="7" t="n">
        <f aca="false">C29*$C$5</f>
        <v>6067110.09241276</v>
      </c>
    </row>
    <row r="30" customFormat="false" ht="15" hidden="false" customHeight="false" outlineLevel="0" collapsed="false">
      <c r="A30" s="4" t="s">
        <v>34</v>
      </c>
      <c r="B30" s="5" t="n">
        <v>3192893</v>
      </c>
      <c r="C30" s="8" t="n">
        <f aca="false">B30/$B$45</f>
        <v>0.0165006927138184</v>
      </c>
      <c r="D30" s="7" t="n">
        <f aca="false">C30*$C$4</f>
        <v>3919372.92527615</v>
      </c>
      <c r="E30" s="7" t="n">
        <f aca="false">C30*$C$5</f>
        <v>4330317.79310875</v>
      </c>
    </row>
    <row r="31" customFormat="false" ht="15" hidden="false" customHeight="false" outlineLevel="0" collapsed="false">
      <c r="A31" s="4" t="s">
        <v>35</v>
      </c>
      <c r="B31" s="5" t="n">
        <v>12550598</v>
      </c>
      <c r="C31" s="8" t="n">
        <f aca="false">B31/$B$45</f>
        <v>0.0648607895637792</v>
      </c>
      <c r="D31" s="7" t="n">
        <f aca="false">C31*$C$4</f>
        <v>15406239.4189924</v>
      </c>
      <c r="E31" s="7" t="n">
        <f aca="false">C31*$C$5</f>
        <v>17021578.1842846</v>
      </c>
    </row>
    <row r="32" customFormat="false" ht="15" hidden="false" customHeight="false" outlineLevel="0" collapsed="false">
      <c r="A32" s="4" t="s">
        <v>36</v>
      </c>
      <c r="B32" s="5" t="n">
        <v>2523395</v>
      </c>
      <c r="C32" s="8" t="n">
        <f aca="false">B32/$B$45</f>
        <v>0.0130407644385783</v>
      </c>
      <c r="D32" s="7" t="n">
        <f aca="false">C32*$C$4</f>
        <v>3097543.83963923</v>
      </c>
      <c r="E32" s="7" t="n">
        <f aca="false">C32*$C$5</f>
        <v>3422320.21791575</v>
      </c>
    </row>
    <row r="33" customFormat="false" ht="15" hidden="false" customHeight="false" outlineLevel="0" collapsed="false">
      <c r="A33" s="4" t="s">
        <v>37</v>
      </c>
      <c r="B33" s="5" t="n">
        <v>5556247</v>
      </c>
      <c r="C33" s="8" t="n">
        <f aca="false">B33/$B$45</f>
        <v>0.0287143742020404</v>
      </c>
      <c r="D33" s="7" t="n">
        <f aca="false">C33*$C$4</f>
        <v>6820461.58701429</v>
      </c>
      <c r="E33" s="7" t="n">
        <f aca="false">C33*$C$5</f>
        <v>7535584.57706134</v>
      </c>
    </row>
    <row r="34" customFormat="false" ht="15" hidden="false" customHeight="false" outlineLevel="0" collapsed="false">
      <c r="A34" s="4" t="s">
        <v>38</v>
      </c>
      <c r="B34" s="5" t="n">
        <v>5217716</v>
      </c>
      <c r="C34" s="8" t="n">
        <f aca="false">B34/$B$45</f>
        <v>0.0269648648996298</v>
      </c>
      <c r="D34" s="7" t="n">
        <f aca="false">C34*$C$4</f>
        <v>6404904.52457385</v>
      </c>
      <c r="E34" s="7" t="n">
        <f aca="false">C34*$C$5</f>
        <v>7076456.50329911</v>
      </c>
    </row>
    <row r="35" customFormat="false" ht="15" hidden="false" customHeight="false" outlineLevel="0" collapsed="false">
      <c r="A35" s="4" t="s">
        <v>39</v>
      </c>
      <c r="B35" s="5" t="n">
        <v>4671695</v>
      </c>
      <c r="C35" s="8" t="n">
        <f aca="false">B35/$B$45</f>
        <v>0.0241430588646979</v>
      </c>
      <c r="D35" s="7" t="n">
        <f aca="false">C35*$C$4</f>
        <v>5734647.19868406</v>
      </c>
      <c r="E35" s="7" t="n">
        <f aca="false">C35*$C$5</f>
        <v>6335922.93336394</v>
      </c>
    </row>
    <row r="36" customFormat="false" ht="15" hidden="false" customHeight="false" outlineLevel="0" collapsed="false">
      <c r="A36" s="4" t="s">
        <v>40</v>
      </c>
      <c r="B36" s="5" t="n">
        <v>4705589</v>
      </c>
      <c r="C36" s="8" t="n">
        <f aca="false">B36/$B$45</f>
        <v>0.0243182211638548</v>
      </c>
      <c r="D36" s="7" t="n">
        <f aca="false">C36*$C$4</f>
        <v>5776253.11091767</v>
      </c>
      <c r="E36" s="7" t="n">
        <f aca="false">C36*$C$5</f>
        <v>6381891.21081001</v>
      </c>
    </row>
    <row r="37" customFormat="false" ht="15" hidden="false" customHeight="false" outlineLevel="0" collapsed="false">
      <c r="A37" s="4" t="s">
        <v>41</v>
      </c>
      <c r="B37" s="5" t="n">
        <v>7840864</v>
      </c>
      <c r="C37" s="8" t="n">
        <f aca="false">B37/$B$45</f>
        <v>0.0405211472714059</v>
      </c>
      <c r="D37" s="7" t="n">
        <f aca="false">C37*$C$4</f>
        <v>9624898.19495124</v>
      </c>
      <c r="E37" s="7" t="n">
        <f aca="false">C37*$C$5</f>
        <v>10634065.373486</v>
      </c>
    </row>
    <row r="38" customFormat="false" ht="15" hidden="false" customHeight="false" outlineLevel="0" collapsed="false">
      <c r="A38" s="4" t="s">
        <v>42</v>
      </c>
      <c r="B38" s="5" t="n">
        <v>4200442</v>
      </c>
      <c r="C38" s="8" t="n">
        <f aca="false">B38/$B$45</f>
        <v>0.0217076496782751</v>
      </c>
      <c r="D38" s="7" t="n">
        <f aca="false">C38*$C$4</f>
        <v>5156169.85880604</v>
      </c>
      <c r="E38" s="7" t="n">
        <f aca="false">C38*$C$5</f>
        <v>5696792.44857918</v>
      </c>
    </row>
    <row r="39" customFormat="false" ht="15" hidden="false" customHeight="false" outlineLevel="0" collapsed="false">
      <c r="A39" s="4" t="s">
        <v>43</v>
      </c>
      <c r="B39" s="5" t="n">
        <v>7303924</v>
      </c>
      <c r="C39" s="8" t="n">
        <f aca="false">B39/$B$45</f>
        <v>0.0377462713373368</v>
      </c>
      <c r="D39" s="7" t="n">
        <f aca="false">C39*$C$4</f>
        <v>8965788.0717815</v>
      </c>
      <c r="E39" s="7" t="n">
        <f aca="false">C39*$C$5</f>
        <v>9905847.78654156</v>
      </c>
    </row>
    <row r="40" customFormat="false" ht="15" hidden="false" customHeight="false" outlineLevel="0" collapsed="false">
      <c r="A40" s="4" t="s">
        <v>44</v>
      </c>
      <c r="B40" s="5" t="n">
        <v>4998090</v>
      </c>
      <c r="C40" s="8" t="n">
        <f aca="false">B40/$B$45</f>
        <v>0.0258298499968551</v>
      </c>
      <c r="D40" s="7" t="n">
        <f aca="false">C40*$C$4</f>
        <v>6135306.95331584</v>
      </c>
      <c r="E40" s="7" t="n">
        <f aca="false">C40*$C$5</f>
        <v>6778591.72185191</v>
      </c>
    </row>
    <row r="41" customFormat="false" ht="15" hidden="false" customHeight="false" outlineLevel="0" collapsed="false">
      <c r="A41" s="4" t="s">
        <v>45</v>
      </c>
      <c r="B41" s="5" t="n">
        <v>3066834</v>
      </c>
      <c r="C41" s="8" t="n">
        <f aca="false">B41/$B$45</f>
        <v>0.0158492268417045</v>
      </c>
      <c r="D41" s="7" t="n">
        <f aca="false">C41*$C$4</f>
        <v>3764631.68227571</v>
      </c>
      <c r="E41" s="7" t="n">
        <f aca="false">C41*$C$5</f>
        <v>4159351.98539722</v>
      </c>
    </row>
    <row r="42" customFormat="false" ht="15" hidden="false" customHeight="false" outlineLevel="0" collapsed="false">
      <c r="A42" s="4" t="s">
        <v>46</v>
      </c>
      <c r="B42" s="5" t="n">
        <v>3294137</v>
      </c>
      <c r="C42" s="8" t="n">
        <f aca="false">B42/$B$45</f>
        <v>0.0170239160517498</v>
      </c>
      <c r="D42" s="7" t="n">
        <f aca="false">C42*$C$4</f>
        <v>4043653.00370241</v>
      </c>
      <c r="E42" s="7" t="n">
        <f aca="false">C42*$C$5</f>
        <v>4467628.59389209</v>
      </c>
    </row>
    <row r="43" customFormat="false" ht="15" hidden="false" customHeight="false" outlineLevel="0" collapsed="false">
      <c r="A43" s="4" t="s">
        <v>47</v>
      </c>
      <c r="B43" s="5" t="n">
        <v>4515427</v>
      </c>
      <c r="C43" s="8" t="n">
        <f aca="false">B43/$B$45</f>
        <v>0.0233354745676347</v>
      </c>
      <c r="D43" s="7" t="n">
        <f aca="false">C43*$C$4</f>
        <v>5542823.4926322</v>
      </c>
      <c r="E43" s="7" t="n">
        <f aca="false">C43*$C$5</f>
        <v>6123986.57943867</v>
      </c>
    </row>
    <row r="44" customFormat="false" ht="15" hidden="false" customHeight="false" outlineLevel="0" collapsed="false">
      <c r="A44" s="4" t="s">
        <v>48</v>
      </c>
      <c r="B44" s="5" t="n">
        <v>3564126</v>
      </c>
      <c r="C44" s="8" t="n">
        <f aca="false">B44/$B$45</f>
        <v>0.0184192041259543</v>
      </c>
      <c r="D44" s="7" t="n">
        <f aca="false">C44*$C$4</f>
        <v>4375072.68382397</v>
      </c>
      <c r="E44" s="7" t="n">
        <f aca="false">C44*$C$5</f>
        <v>4833797.51049644</v>
      </c>
    </row>
    <row r="45" customFormat="false" ht="15" hidden="false" customHeight="false" outlineLevel="0" collapsed="false">
      <c r="A45" s="14" t="s">
        <v>49</v>
      </c>
      <c r="B45" s="15" t="n">
        <f aca="false">SUM(B8:B44)</f>
        <v>193500543</v>
      </c>
      <c r="C45" s="16"/>
      <c r="D45" s="15" t="n">
        <f aca="false">SUM(D8:D44)</f>
        <v>237527781</v>
      </c>
      <c r="E45" s="15" t="n">
        <f aca="false">SUM(E8:E44)</f>
        <v>262432485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13"/>
  </cols>
  <sheetData>
    <row r="1" customFormat="false" ht="17.35" hidden="false" customHeight="false" outlineLevel="0" collapsed="false">
      <c r="A1" s="21" t="s">
        <v>60</v>
      </c>
    </row>
    <row r="3" customFormat="false" ht="45" hidden="false" customHeight="true" outlineLevel="0" collapsed="false">
      <c r="A3" s="18" t="s">
        <v>61</v>
      </c>
      <c r="B3" s="22" t="s">
        <v>62</v>
      </c>
      <c r="C3" s="22"/>
      <c r="D3" s="22"/>
      <c r="E3" s="22"/>
      <c r="F3" s="22"/>
      <c r="G3" s="22"/>
      <c r="H3" s="22"/>
    </row>
    <row r="5" customFormat="false" ht="60" hidden="false" customHeight="true" outlineLevel="0" collapsed="false">
      <c r="A5" s="18" t="s">
        <v>63</v>
      </c>
      <c r="B5" s="22" t="s">
        <v>64</v>
      </c>
      <c r="C5" s="22"/>
      <c r="D5" s="22"/>
      <c r="E5" s="22"/>
      <c r="F5" s="22"/>
      <c r="G5" s="22"/>
      <c r="H5" s="22"/>
    </row>
    <row r="7" customFormat="false" ht="75" hidden="false" customHeight="true" outlineLevel="0" collapsed="false">
      <c r="A7" s="18" t="s">
        <v>65</v>
      </c>
      <c r="B7" s="22" t="s">
        <v>66</v>
      </c>
      <c r="C7" s="22"/>
      <c r="D7" s="22"/>
      <c r="E7" s="22"/>
      <c r="F7" s="22"/>
      <c r="G7" s="22"/>
      <c r="H7" s="22"/>
    </row>
    <row r="9" customFormat="false" ht="120" hidden="false" customHeight="true" outlineLevel="0" collapsed="false">
      <c r="A9" s="18" t="s">
        <v>67</v>
      </c>
      <c r="B9" s="22" t="s">
        <v>68</v>
      </c>
      <c r="C9" s="22"/>
      <c r="D9" s="22"/>
      <c r="E9" s="22"/>
      <c r="F9" s="22"/>
      <c r="G9" s="22"/>
      <c r="H9" s="22"/>
    </row>
    <row r="11" customFormat="false" ht="90" hidden="false" customHeight="true" outlineLevel="0" collapsed="false">
      <c r="A11" s="18" t="s">
        <v>69</v>
      </c>
      <c r="B11" s="22" t="s">
        <v>70</v>
      </c>
      <c r="C11" s="22"/>
      <c r="D11" s="22"/>
      <c r="E11" s="22"/>
      <c r="F11" s="22"/>
      <c r="G11" s="22"/>
      <c r="H11" s="22"/>
    </row>
    <row r="13" customFormat="false" ht="60" hidden="false" customHeight="true" outlineLevel="0" collapsed="false">
      <c r="A13" s="18" t="s">
        <v>71</v>
      </c>
      <c r="B13" s="22" t="s">
        <v>72</v>
      </c>
      <c r="C13" s="22"/>
      <c r="D13" s="22"/>
      <c r="E13" s="22"/>
      <c r="F13" s="22"/>
      <c r="G13" s="22"/>
      <c r="H13" s="22"/>
    </row>
    <row r="15" customFormat="false" ht="60" hidden="false" customHeight="true" outlineLevel="0" collapsed="false">
      <c r="A15" s="18" t="s">
        <v>73</v>
      </c>
      <c r="B15" s="22" t="s">
        <v>74</v>
      </c>
      <c r="C15" s="22"/>
      <c r="D15" s="22"/>
      <c r="E15" s="22"/>
      <c r="F15" s="22"/>
      <c r="G15" s="22"/>
      <c r="H15" s="22"/>
    </row>
  </sheetData>
  <mergeCells count="7">
    <mergeCell ref="B3:H3"/>
    <mergeCell ref="B5:H5"/>
    <mergeCell ref="B7:H7"/>
    <mergeCell ref="B9:H9"/>
    <mergeCell ref="B11:H11"/>
    <mergeCell ref="B13:H13"/>
    <mergeCell ref="B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2026-08-26T22:37:13Z</dcterms:created>
  <dc:creator>openpyxl</dc:creator>
  <dc:description/>
  <dc:language>en-US</dc:language>
  <cp:lastModifiedBy/>
  <dcterms:modified xsi:type="dcterms:W3CDTF">2026-08-26T22:37:13Z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